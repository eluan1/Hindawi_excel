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luan\Downloads\"/>
    </mc:Choice>
  </mc:AlternateContent>
  <xr:revisionPtr revIDLastSave="0" documentId="13_ncr:1_{61746910-3DFE-4034-B469-829A4DDEF4EA}" xr6:coauthVersionLast="47" xr6:coauthVersionMax="47" xr10:uidLastSave="{00000000-0000-0000-0000-000000000000}"/>
  <bookViews>
    <workbookView xWindow="-120" yWindow="-120" windowWidth="20730" windowHeight="11040" activeTab="2" xr2:uid="{B7F36F32-A818-4BE6-8F86-9ABC30E62E8D}"/>
  </bookViews>
  <sheets>
    <sheet name="CASE 1" sheetId="1" r:id="rId1"/>
    <sheet name="CASE 2" sheetId="2" r:id="rId2"/>
    <sheet name="AG CASE " sheetId="3" r:id="rId3"/>
  </sheets>
  <definedNames>
    <definedName name="solver_adj" localSheetId="2" hidden="1">'AG CASE '!$C$26:$G$27,'AG CASE '!$C$29:$C$30</definedName>
    <definedName name="solver_cvg" localSheetId="2" hidden="1">0.000000001</definedName>
    <definedName name="solver_drv" localSheetId="2" hidden="1">1</definedName>
    <definedName name="solver_eng" localSheetId="2" hidden="1">3</definedName>
    <definedName name="solver_est" localSheetId="2" hidden="1">1</definedName>
    <definedName name="solver_itr" localSheetId="2" hidden="1">2147483647</definedName>
    <definedName name="solver_lhs1" localSheetId="2" hidden="1">'AG CASE '!$C$26:$G$26</definedName>
    <definedName name="solver_lhs10" localSheetId="2" hidden="1">'AG CASE '!$C$30</definedName>
    <definedName name="solver_lhs11" localSheetId="2" hidden="1">'AG CASE '!$C$26:$G$27</definedName>
    <definedName name="solver_lhs12" localSheetId="2" hidden="1">'AG CASE '!$C$29:$C$30</definedName>
    <definedName name="solver_lhs13" localSheetId="2" hidden="1">'AG CASE '!$C$26:$G$26</definedName>
    <definedName name="solver_lhs14" localSheetId="2" hidden="1">'AG CASE '!$C$26:$G$26</definedName>
    <definedName name="solver_lhs15" localSheetId="2" hidden="1">'AG CASE '!$C$27:$G$27</definedName>
    <definedName name="solver_lhs16" localSheetId="2" hidden="1">'AG CASE '!$C$27:$G$27</definedName>
    <definedName name="solver_lhs17" localSheetId="2" hidden="1">'AG CASE '!$C$29</definedName>
    <definedName name="solver_lhs18" localSheetId="2" hidden="1">'AG CASE '!$C$29</definedName>
    <definedName name="solver_lhs19" localSheetId="2" hidden="1">'AG CASE '!$C$30</definedName>
    <definedName name="solver_lhs2" localSheetId="2" hidden="1">'AG CASE '!$C$26:$G$26</definedName>
    <definedName name="solver_lhs20" localSheetId="2" hidden="1">'AG CASE '!$C$30</definedName>
    <definedName name="solver_lhs3" localSheetId="2" hidden="1">'AG CASE '!$C$26:$G$27</definedName>
    <definedName name="solver_lhs4" localSheetId="2" hidden="1">'AG CASE '!$C$27:$G$27</definedName>
    <definedName name="solver_lhs5" localSheetId="2" hidden="1">'AG CASE '!$C$27:$G$27</definedName>
    <definedName name="solver_lhs6" localSheetId="2" hidden="1">'AG CASE '!$C$29</definedName>
    <definedName name="solver_lhs7" localSheetId="2" hidden="1">'AG CASE '!$C$29</definedName>
    <definedName name="solver_lhs8" localSheetId="2" hidden="1">'AG CASE '!$C$29:$C$30</definedName>
    <definedName name="solver_lhs9" localSheetId="2" hidden="1">'AG CASE '!$C$30</definedName>
    <definedName name="solver_mip" localSheetId="2" hidden="1">2147483647</definedName>
    <definedName name="solver_mni" localSheetId="2" hidden="1">1200</definedName>
    <definedName name="solver_mrt" localSheetId="2" hidden="1">0.0015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20</definedName>
    <definedName name="solver_nwt" localSheetId="2" hidden="1">1</definedName>
    <definedName name="solver_opt" localSheetId="2" hidden="1">'AG CASE '!$N$15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10" localSheetId="2" hidden="1">3</definedName>
    <definedName name="solver_rel11" localSheetId="2" hidden="1">4</definedName>
    <definedName name="solver_rel12" localSheetId="2" hidden="1">4</definedName>
    <definedName name="solver_rel13" localSheetId="2" hidden="1">1</definedName>
    <definedName name="solver_rel14" localSheetId="2" hidden="1">3</definedName>
    <definedName name="solver_rel15" localSheetId="2" hidden="1">1</definedName>
    <definedName name="solver_rel16" localSheetId="2" hidden="1">3</definedName>
    <definedName name="solver_rel17" localSheetId="2" hidden="1">1</definedName>
    <definedName name="solver_rel18" localSheetId="2" hidden="1">3</definedName>
    <definedName name="solver_rel19" localSheetId="2" hidden="1">1</definedName>
    <definedName name="solver_rel2" localSheetId="2" hidden="1">3</definedName>
    <definedName name="solver_rel20" localSheetId="2" hidden="1">3</definedName>
    <definedName name="solver_rel3" localSheetId="2" hidden="1">4</definedName>
    <definedName name="solver_rel4" localSheetId="2" hidden="1">1</definedName>
    <definedName name="solver_rel5" localSheetId="2" hidden="1">3</definedName>
    <definedName name="solver_rel6" localSheetId="2" hidden="1">1</definedName>
    <definedName name="solver_rel7" localSheetId="2" hidden="1">3</definedName>
    <definedName name="solver_rel8" localSheetId="2" hidden="1">4</definedName>
    <definedName name="solver_rel9" localSheetId="2" hidden="1">1</definedName>
    <definedName name="solver_rhs1" localSheetId="2" hidden="1">'AG CASE '!$D$15</definedName>
    <definedName name="solver_rhs10" localSheetId="2" hidden="1">'AG CASE '!$C$16</definedName>
    <definedName name="solver_rhs11" localSheetId="2" hidden="1">"número inteiro"</definedName>
    <definedName name="solver_rhs12" localSheetId="2" hidden="1">"número inteiro"</definedName>
    <definedName name="solver_rhs13" localSheetId="2" hidden="1">'AG CASE '!$D$15</definedName>
    <definedName name="solver_rhs14" localSheetId="2" hidden="1">'AG CASE '!$C$15</definedName>
    <definedName name="solver_rhs15" localSheetId="2" hidden="1">'AG CASE '!$D$16</definedName>
    <definedName name="solver_rhs16" localSheetId="2" hidden="1">'AG CASE '!$C$16</definedName>
    <definedName name="solver_rhs17" localSheetId="2" hidden="1">'AG CASE '!$D$15</definedName>
    <definedName name="solver_rhs18" localSheetId="2" hidden="1">'AG CASE '!$C$15</definedName>
    <definedName name="solver_rhs19" localSheetId="2" hidden="1">'AG CASE '!$D$16</definedName>
    <definedName name="solver_rhs2" localSheetId="2" hidden="1">'AG CASE '!$C$15</definedName>
    <definedName name="solver_rhs20" localSheetId="2" hidden="1">'AG CASE '!$C$16</definedName>
    <definedName name="solver_rhs3" localSheetId="2" hidden="1">"número inteiro"</definedName>
    <definedName name="solver_rhs4" localSheetId="2" hidden="1">'AG CASE '!$D$16</definedName>
    <definedName name="solver_rhs5" localSheetId="2" hidden="1">'AG CASE '!$C$16</definedName>
    <definedName name="solver_rhs6" localSheetId="2" hidden="1">'AG CASE '!$D$15</definedName>
    <definedName name="solver_rhs7" localSheetId="2" hidden="1">'AG CASE '!$C$15</definedName>
    <definedName name="solver_rhs8" localSheetId="2" hidden="1">"número inteiro"</definedName>
    <definedName name="solver_rhs9" localSheetId="2" hidden="1">'AG CASE '!$D$16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950</definedName>
    <definedName name="solver_tim" localSheetId="2" hidden="1">2147483647</definedName>
    <definedName name="solver_tol" localSheetId="2" hidden="1">0.001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6" i="3" l="1"/>
  <c r="H106" i="3"/>
  <c r="G107" i="3"/>
  <c r="H107" i="3"/>
  <c r="G108" i="3"/>
  <c r="H108" i="3"/>
  <c r="G109" i="3"/>
  <c r="H109" i="3"/>
  <c r="G110" i="3"/>
  <c r="H110" i="3"/>
  <c r="G111" i="3"/>
  <c r="H111" i="3"/>
  <c r="G112" i="3"/>
  <c r="H112" i="3"/>
  <c r="G113" i="3"/>
  <c r="H113" i="3"/>
  <c r="G114" i="3"/>
  <c r="H114" i="3"/>
  <c r="G115" i="3"/>
  <c r="H115" i="3"/>
  <c r="G116" i="3"/>
  <c r="H116" i="3"/>
  <c r="G117" i="3"/>
  <c r="H117" i="3"/>
  <c r="G118" i="3"/>
  <c r="H118" i="3"/>
  <c r="G119" i="3"/>
  <c r="H119" i="3"/>
  <c r="G120" i="3"/>
  <c r="H120" i="3"/>
  <c r="G121" i="3"/>
  <c r="H121" i="3"/>
  <c r="G122" i="3"/>
  <c r="H122" i="3"/>
  <c r="H105" i="3"/>
  <c r="G105" i="3"/>
  <c r="G88" i="3"/>
  <c r="H88" i="3"/>
  <c r="G89" i="3"/>
  <c r="H89" i="3"/>
  <c r="G90" i="3"/>
  <c r="H90" i="3"/>
  <c r="G91" i="3"/>
  <c r="H91" i="3"/>
  <c r="G92" i="3"/>
  <c r="H92" i="3"/>
  <c r="G93" i="3"/>
  <c r="H93" i="3"/>
  <c r="G94" i="3"/>
  <c r="H94" i="3"/>
  <c r="G95" i="3"/>
  <c r="H95" i="3"/>
  <c r="G96" i="3"/>
  <c r="H96" i="3"/>
  <c r="G97" i="3"/>
  <c r="H97" i="3"/>
  <c r="G98" i="3"/>
  <c r="H98" i="3"/>
  <c r="G99" i="3"/>
  <c r="H99" i="3"/>
  <c r="G100" i="3"/>
  <c r="H100" i="3"/>
  <c r="G101" i="3"/>
  <c r="H101" i="3"/>
  <c r="G102" i="3"/>
  <c r="H102" i="3"/>
  <c r="G103" i="3"/>
  <c r="H103" i="3"/>
  <c r="G104" i="3"/>
  <c r="H104" i="3"/>
  <c r="H87" i="3"/>
  <c r="G87" i="3"/>
  <c r="G70" i="3"/>
  <c r="H70" i="3"/>
  <c r="G71" i="3"/>
  <c r="H71" i="3"/>
  <c r="G72" i="3"/>
  <c r="H72" i="3"/>
  <c r="G73" i="3"/>
  <c r="H73" i="3"/>
  <c r="G74" i="3"/>
  <c r="H74" i="3"/>
  <c r="G75" i="3"/>
  <c r="H75" i="3"/>
  <c r="G76" i="3"/>
  <c r="H76" i="3"/>
  <c r="G77" i="3"/>
  <c r="H77" i="3"/>
  <c r="G78" i="3"/>
  <c r="H78" i="3"/>
  <c r="G79" i="3"/>
  <c r="H79" i="3"/>
  <c r="G80" i="3"/>
  <c r="H80" i="3"/>
  <c r="G81" i="3"/>
  <c r="H81" i="3"/>
  <c r="G82" i="3"/>
  <c r="H82" i="3"/>
  <c r="G83" i="3"/>
  <c r="H83" i="3"/>
  <c r="G84" i="3"/>
  <c r="H84" i="3"/>
  <c r="G85" i="3"/>
  <c r="H85" i="3"/>
  <c r="G86" i="3"/>
  <c r="H86" i="3"/>
  <c r="H69" i="3"/>
  <c r="G69" i="3"/>
  <c r="G51" i="3"/>
  <c r="H51" i="3"/>
  <c r="G52" i="3"/>
  <c r="H52" i="3"/>
  <c r="G53" i="3"/>
  <c r="H53" i="3"/>
  <c r="G54" i="3"/>
  <c r="H54" i="3"/>
  <c r="G55" i="3"/>
  <c r="H55" i="3"/>
  <c r="G56" i="3"/>
  <c r="H56" i="3"/>
  <c r="G57" i="3"/>
  <c r="H57" i="3"/>
  <c r="G58" i="3"/>
  <c r="H58" i="3"/>
  <c r="G59" i="3"/>
  <c r="H59" i="3"/>
  <c r="G60" i="3"/>
  <c r="H60" i="3"/>
  <c r="G61" i="3"/>
  <c r="H61" i="3"/>
  <c r="G62" i="3"/>
  <c r="H62" i="3"/>
  <c r="G63" i="3"/>
  <c r="H63" i="3"/>
  <c r="G64" i="3"/>
  <c r="H64" i="3"/>
  <c r="G65" i="3"/>
  <c r="H65" i="3"/>
  <c r="G66" i="3"/>
  <c r="H66" i="3"/>
  <c r="G67" i="3"/>
  <c r="H67" i="3"/>
  <c r="G68" i="3"/>
  <c r="H68" i="3"/>
  <c r="H50" i="3"/>
  <c r="G50" i="3"/>
  <c r="G34" i="3"/>
  <c r="H34" i="3"/>
  <c r="G35" i="3"/>
  <c r="H35" i="3"/>
  <c r="G36" i="3"/>
  <c r="H36" i="3"/>
  <c r="G37" i="3"/>
  <c r="H37" i="3"/>
  <c r="G38" i="3"/>
  <c r="H38" i="3"/>
  <c r="G39" i="3"/>
  <c r="H39" i="3"/>
  <c r="G40" i="3"/>
  <c r="H40" i="3"/>
  <c r="G41" i="3"/>
  <c r="H41" i="3"/>
  <c r="G42" i="3"/>
  <c r="H42" i="3"/>
  <c r="G43" i="3"/>
  <c r="H43" i="3"/>
  <c r="G44" i="3"/>
  <c r="H44" i="3"/>
  <c r="G45" i="3"/>
  <c r="H45" i="3"/>
  <c r="G46" i="3"/>
  <c r="H46" i="3"/>
  <c r="G47" i="3"/>
  <c r="H47" i="3"/>
  <c r="G48" i="3"/>
  <c r="H48" i="3"/>
  <c r="G49" i="3"/>
  <c r="H49" i="3"/>
  <c r="H33" i="3"/>
  <c r="G33" i="3"/>
  <c r="C23" i="3"/>
  <c r="C22" i="3"/>
  <c r="F21" i="3" s="1"/>
  <c r="I13" i="3"/>
  <c r="I14" i="3" s="1"/>
  <c r="I10" i="3"/>
  <c r="I6" i="3"/>
  <c r="I4" i="3"/>
  <c r="C20" i="2"/>
  <c r="C19" i="2"/>
  <c r="C19" i="1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33" i="2"/>
  <c r="C23" i="2"/>
  <c r="C22" i="2"/>
  <c r="F21" i="2" s="1"/>
  <c r="I13" i="2"/>
  <c r="I14" i="2" s="1"/>
  <c r="F23" i="2" s="1"/>
  <c r="I10" i="2"/>
  <c r="I6" i="2"/>
  <c r="I4" i="2"/>
  <c r="O14" i="1"/>
  <c r="O13" i="1"/>
  <c r="N14" i="1"/>
  <c r="N13" i="1"/>
  <c r="F24" i="1"/>
  <c r="C23" i="1"/>
  <c r="F23" i="1" s="1"/>
  <c r="C22" i="1"/>
  <c r="F21" i="1" s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33" i="1"/>
  <c r="C20" i="1" s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33" i="1"/>
  <c r="C21" i="1" s="1"/>
  <c r="F19" i="1" s="1"/>
  <c r="N12" i="1" s="1"/>
  <c r="N15" i="1" s="1"/>
  <c r="J106" i="3" l="1"/>
  <c r="I122" i="3"/>
  <c r="I106" i="3"/>
  <c r="I115" i="3"/>
  <c r="J98" i="3"/>
  <c r="I90" i="3"/>
  <c r="J122" i="3"/>
  <c r="I70" i="3"/>
  <c r="J90" i="3"/>
  <c r="I98" i="3"/>
  <c r="I94" i="3"/>
  <c r="J74" i="3"/>
  <c r="J70" i="3"/>
  <c r="J110" i="3"/>
  <c r="J105" i="3"/>
  <c r="I119" i="3"/>
  <c r="J118" i="3"/>
  <c r="J49" i="3"/>
  <c r="J45" i="3"/>
  <c r="I50" i="3"/>
  <c r="I65" i="3"/>
  <c r="J57" i="3"/>
  <c r="I53" i="3"/>
  <c r="I86" i="3"/>
  <c r="J82" i="3"/>
  <c r="J78" i="3"/>
  <c r="I74" i="3"/>
  <c r="I42" i="3"/>
  <c r="J79" i="3"/>
  <c r="I75" i="3"/>
  <c r="J71" i="3"/>
  <c r="I105" i="3"/>
  <c r="J111" i="3"/>
  <c r="J107" i="3"/>
  <c r="I102" i="3"/>
  <c r="J94" i="3"/>
  <c r="I107" i="3"/>
  <c r="J114" i="3"/>
  <c r="I82" i="3"/>
  <c r="I78" i="3"/>
  <c r="J48" i="3"/>
  <c r="J53" i="3"/>
  <c r="I57" i="3"/>
  <c r="I44" i="3"/>
  <c r="J36" i="3"/>
  <c r="J64" i="3"/>
  <c r="J60" i="3"/>
  <c r="I56" i="3"/>
  <c r="J52" i="3"/>
  <c r="I71" i="3"/>
  <c r="I81" i="3"/>
  <c r="J77" i="3"/>
  <c r="J73" i="3"/>
  <c r="J75" i="3"/>
  <c r="I111" i="3"/>
  <c r="J50" i="3"/>
  <c r="I114" i="3"/>
  <c r="I87" i="3"/>
  <c r="I99" i="3"/>
  <c r="I61" i="3"/>
  <c r="I93" i="3"/>
  <c r="I89" i="3"/>
  <c r="I121" i="3"/>
  <c r="I113" i="3"/>
  <c r="I109" i="3"/>
  <c r="I91" i="3"/>
  <c r="J86" i="3"/>
  <c r="I118" i="3"/>
  <c r="I110" i="3"/>
  <c r="J119" i="3"/>
  <c r="J115" i="3"/>
  <c r="J67" i="3"/>
  <c r="J63" i="3"/>
  <c r="I59" i="3"/>
  <c r="J51" i="3"/>
  <c r="J72" i="3"/>
  <c r="I100" i="3"/>
  <c r="J92" i="3"/>
  <c r="I88" i="3"/>
  <c r="J120" i="3"/>
  <c r="J116" i="3"/>
  <c r="J112" i="3"/>
  <c r="I46" i="3"/>
  <c r="I41" i="3"/>
  <c r="J59" i="3"/>
  <c r="I72" i="3"/>
  <c r="J37" i="3"/>
  <c r="J88" i="3"/>
  <c r="I39" i="3"/>
  <c r="I35" i="3"/>
  <c r="I63" i="3"/>
  <c r="J55" i="3"/>
  <c r="I51" i="3"/>
  <c r="J104" i="3"/>
  <c r="J100" i="3"/>
  <c r="J96" i="3"/>
  <c r="I67" i="3"/>
  <c r="I92" i="3"/>
  <c r="I95" i="3"/>
  <c r="J42" i="3"/>
  <c r="I55" i="3"/>
  <c r="J108" i="3"/>
  <c r="I38" i="3"/>
  <c r="J34" i="3"/>
  <c r="J66" i="3"/>
  <c r="J62" i="3"/>
  <c r="J58" i="3"/>
  <c r="J54" i="3"/>
  <c r="J83" i="3"/>
  <c r="J89" i="3"/>
  <c r="I73" i="3"/>
  <c r="I48" i="3"/>
  <c r="J44" i="3"/>
  <c r="J40" i="3"/>
  <c r="I36" i="3"/>
  <c r="I68" i="3"/>
  <c r="I60" i="3"/>
  <c r="J56" i="3"/>
  <c r="I52" i="3"/>
  <c r="I85" i="3"/>
  <c r="J81" i="3"/>
  <c r="I77" i="3"/>
  <c r="J87" i="3"/>
  <c r="J101" i="3"/>
  <c r="J97" i="3"/>
  <c r="J93" i="3"/>
  <c r="I117" i="3"/>
  <c r="J47" i="3"/>
  <c r="J43" i="3"/>
  <c r="J39" i="3"/>
  <c r="J35" i="3"/>
  <c r="J84" i="3"/>
  <c r="J38" i="3"/>
  <c r="I64" i="3"/>
  <c r="I96" i="3"/>
  <c r="I104" i="3"/>
  <c r="I108" i="3"/>
  <c r="J65" i="3"/>
  <c r="I40" i="3"/>
  <c r="I120" i="3"/>
  <c r="J85" i="3"/>
  <c r="I101" i="3"/>
  <c r="J69" i="3"/>
  <c r="I83" i="3"/>
  <c r="I79" i="3"/>
  <c r="J99" i="3"/>
  <c r="J68" i="3"/>
  <c r="J61" i="3"/>
  <c r="J121" i="3"/>
  <c r="J117" i="3"/>
  <c r="J113" i="3"/>
  <c r="J109" i="3"/>
  <c r="J80" i="3"/>
  <c r="J76" i="3"/>
  <c r="I34" i="3"/>
  <c r="I97" i="3"/>
  <c r="I116" i="3"/>
  <c r="I112" i="3"/>
  <c r="J46" i="3"/>
  <c r="I103" i="3"/>
  <c r="J91" i="3"/>
  <c r="J102" i="3"/>
  <c r="J95" i="3"/>
  <c r="J103" i="3"/>
  <c r="I76" i="3"/>
  <c r="I80" i="3"/>
  <c r="I84" i="3"/>
  <c r="I69" i="3"/>
  <c r="I54" i="3"/>
  <c r="I58" i="3"/>
  <c r="I62" i="3"/>
  <c r="I66" i="3"/>
  <c r="I37" i="3"/>
  <c r="I49" i="3"/>
  <c r="I45" i="3"/>
  <c r="J41" i="3"/>
  <c r="I43" i="3"/>
  <c r="I47" i="3"/>
  <c r="I33" i="3"/>
  <c r="J33" i="3"/>
  <c r="F23" i="3"/>
  <c r="F24" i="3" s="1"/>
  <c r="O14" i="3" s="1"/>
  <c r="N13" i="3"/>
  <c r="F22" i="3"/>
  <c r="O13" i="3" s="1"/>
  <c r="C21" i="2"/>
  <c r="F19" i="2" s="1"/>
  <c r="N12" i="2" s="1"/>
  <c r="N14" i="2"/>
  <c r="F24" i="2"/>
  <c r="O14" i="2" s="1"/>
  <c r="N13" i="2"/>
  <c r="F22" i="2"/>
  <c r="O13" i="2" s="1"/>
  <c r="C20" i="3" l="1"/>
  <c r="C19" i="3"/>
  <c r="N14" i="3"/>
  <c r="F20" i="2"/>
  <c r="O12" i="2" s="1"/>
  <c r="O15" i="2" s="1"/>
  <c r="N15" i="2"/>
  <c r="C21" i="3" l="1"/>
  <c r="F19" i="3" s="1"/>
  <c r="F20" i="3" s="1"/>
  <c r="O12" i="3" s="1"/>
  <c r="O15" i="3" s="1"/>
  <c r="I13" i="1"/>
  <c r="I14" i="1" s="1"/>
  <c r="I10" i="1"/>
  <c r="I6" i="1"/>
  <c r="I4" i="1"/>
  <c r="N12" i="3" l="1"/>
  <c r="N15" i="3" s="1"/>
  <c r="F22" i="1"/>
  <c r="F20" i="1"/>
  <c r="O12" i="1" s="1"/>
  <c r="O15" i="1" s="1"/>
</calcChain>
</file>

<file path=xl/sharedStrings.xml><?xml version="1.0" encoding="utf-8"?>
<sst xmlns="http://schemas.openxmlformats.org/spreadsheetml/2006/main" count="324" uniqueCount="79">
  <si>
    <t>Parameter panels</t>
  </si>
  <si>
    <t>Model</t>
  </si>
  <si>
    <t>Power</t>
  </si>
  <si>
    <t>Voc in NOCT</t>
  </si>
  <si>
    <t>Imp NOCT</t>
  </si>
  <si>
    <t>W</t>
  </si>
  <si>
    <t>V</t>
  </si>
  <si>
    <t>A</t>
  </si>
  <si>
    <t>RS8I550M</t>
  </si>
  <si>
    <t>Parameter Inverter</t>
  </si>
  <si>
    <t>Imp</t>
  </si>
  <si>
    <t>Vac</t>
  </si>
  <si>
    <t>PV System Configuration</t>
  </si>
  <si>
    <t>Number panels</t>
  </si>
  <si>
    <t>Total power panels</t>
  </si>
  <si>
    <t>Number inverter</t>
  </si>
  <si>
    <t>Total power inverter</t>
  </si>
  <si>
    <t>GW120K-HT</t>
  </si>
  <si>
    <t>kW</t>
  </si>
  <si>
    <t>Number of strings</t>
  </si>
  <si>
    <t>Number panels per strings</t>
  </si>
  <si>
    <t>Current per strings</t>
  </si>
  <si>
    <t>Voltage per strings</t>
  </si>
  <si>
    <t>Cable configuration</t>
  </si>
  <si>
    <t>Panels to inversor</t>
  </si>
  <si>
    <t>Resistance cable CC</t>
  </si>
  <si>
    <t>mm²</t>
  </si>
  <si>
    <t>Inverter to transformer</t>
  </si>
  <si>
    <t>Resistance cable CA</t>
  </si>
  <si>
    <t>Transformer to meter</t>
  </si>
  <si>
    <t>Resistance cable MT</t>
  </si>
  <si>
    <t>Ω /m</t>
  </si>
  <si>
    <t>Transformer voltage primary</t>
  </si>
  <si>
    <t>Transformer voltage secondary</t>
  </si>
  <si>
    <t>Transformer current secondary</t>
  </si>
  <si>
    <t>Transformer current primary</t>
  </si>
  <si>
    <t>Losses in cables</t>
  </si>
  <si>
    <t>% losses</t>
  </si>
  <si>
    <t>Case 1</t>
  </si>
  <si>
    <t>Y</t>
  </si>
  <si>
    <t>X</t>
  </si>
  <si>
    <t>Component</t>
  </si>
  <si>
    <t>Inv1</t>
  </si>
  <si>
    <t>Inv2</t>
  </si>
  <si>
    <t>Inv3</t>
  </si>
  <si>
    <t>Inv4</t>
  </si>
  <si>
    <t>Inv5</t>
  </si>
  <si>
    <t>Transf</t>
  </si>
  <si>
    <t>Meter</t>
  </si>
  <si>
    <t>Array configuration, cable +</t>
  </si>
  <si>
    <t>Array configuration, cable -</t>
  </si>
  <si>
    <t>m</t>
  </si>
  <si>
    <t>Inv array</t>
  </si>
  <si>
    <t>Distance + to inv</t>
  </si>
  <si>
    <t>Distance - to inv</t>
  </si>
  <si>
    <t>Medium distance + to inv</t>
  </si>
  <si>
    <t>Medium distance - to inv</t>
  </si>
  <si>
    <t>Losses CC cable</t>
  </si>
  <si>
    <t>% CC losses</t>
  </si>
  <si>
    <t>Medium distance panel to inv</t>
  </si>
  <si>
    <t>Distance inv to transformer</t>
  </si>
  <si>
    <t>Losses CA cable</t>
  </si>
  <si>
    <t>% CA losses</t>
  </si>
  <si>
    <t>Distance transformer to meter</t>
  </si>
  <si>
    <t>Losses MT cable</t>
  </si>
  <si>
    <t>% MT losses</t>
  </si>
  <si>
    <t>Way</t>
  </si>
  <si>
    <t>Pànel to Inv</t>
  </si>
  <si>
    <t>Inv to Transf.</t>
  </si>
  <si>
    <t>Transf to Meter</t>
  </si>
  <si>
    <t>CC</t>
  </si>
  <si>
    <t>CA</t>
  </si>
  <si>
    <t>MT</t>
  </si>
  <si>
    <t>Total</t>
  </si>
  <si>
    <t>Losses (kW)</t>
  </si>
  <si>
    <t>Limits X and Y</t>
  </si>
  <si>
    <t>Min</t>
  </si>
  <si>
    <t>Max</t>
  </si>
  <si>
    <t>After apply AG necessary to set espaces between inverters and transformer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</si>
</sst>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0" xfId="0" applyNumberFormat="1"/>
    <xf numFmtId="2" fontId="0" fillId="0" borderId="4" xfId="0" applyNumberFormat="1" applyBorder="1"/>
    <xf numFmtId="0" fontId="3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9" xfId="0" applyBorder="1"/>
    <xf numFmtId="0" fontId="3" fillId="0" borderId="1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165" fontId="0" fillId="0" borderId="0" xfId="0" applyNumberFormat="1"/>
    <xf numFmtId="165" fontId="0" fillId="0" borderId="2" xfId="0" applyNumberFormat="1" applyBorder="1"/>
    <xf numFmtId="165" fontId="0" fillId="0" borderId="4" xfId="0" applyNumberFormat="1" applyBorder="1"/>
    <xf numFmtId="165" fontId="0" fillId="0" borderId="5" xfId="0" applyNumberFormat="1" applyBorder="1"/>
    <xf numFmtId="10" fontId="0" fillId="0" borderId="0" xfId="1" applyNumberFormat="1" applyFont="1" applyBorder="1"/>
    <xf numFmtId="1" fontId="0" fillId="0" borderId="0" xfId="0" applyNumberFormat="1"/>
    <xf numFmtId="164" fontId="0" fillId="0" borderId="0" xfId="0" applyNumberFormat="1"/>
    <xf numFmtId="10" fontId="0" fillId="0" borderId="4" xfId="1" applyNumberFormat="1" applyFont="1" applyBorder="1"/>
    <xf numFmtId="10" fontId="0" fillId="0" borderId="2" xfId="0" applyNumberFormat="1" applyBorder="1"/>
    <xf numFmtId="164" fontId="0" fillId="0" borderId="4" xfId="0" applyNumberFormat="1" applyBorder="1"/>
    <xf numFmtId="10" fontId="0" fillId="0" borderId="5" xfId="0" applyNumberFormat="1" applyBorder="1"/>
    <xf numFmtId="2" fontId="0" fillId="0" borderId="2" xfId="0" applyNumberFormat="1" applyBorder="1"/>
    <xf numFmtId="2" fontId="0" fillId="0" borderId="5" xfId="0" applyNumberFormat="1" applyBorder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0" xfId="0" applyFill="1" applyAlignment="1">
      <alignment vertical="center" wrapText="1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Posição Usina Solar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6774296288323207E-2"/>
          <c:y val="5.0053968111574178E-2"/>
          <c:w val="0.89540524203808214"/>
          <c:h val="0.80246704624397003"/>
        </c:manualLayout>
      </c:layout>
      <c:scatterChart>
        <c:scatterStyle val="lineMarker"/>
        <c:varyColors val="0"/>
        <c:ser>
          <c:idx val="5"/>
          <c:order val="0"/>
          <c:tx>
            <c:v>Inv</c:v>
          </c:tx>
          <c:spPr>
            <a:ln w="19050">
              <a:noFill/>
            </a:ln>
          </c:spPr>
          <c:marker>
            <c:spPr>
              <a:ln w="53975"/>
            </c:spPr>
          </c:marker>
          <c:xVal>
            <c:numRef>
              <c:f>'CASE 1'!$C$26:$G$26</c:f>
              <c:numCache>
                <c:formatCode>General</c:formatCode>
                <c:ptCount val="5"/>
                <c:pt idx="0">
                  <c:v>23.5</c:v>
                </c:pt>
                <c:pt idx="1">
                  <c:v>23.5</c:v>
                </c:pt>
                <c:pt idx="2">
                  <c:v>23.5</c:v>
                </c:pt>
                <c:pt idx="3">
                  <c:v>23.5</c:v>
                </c:pt>
                <c:pt idx="4">
                  <c:v>23.5</c:v>
                </c:pt>
              </c:numCache>
            </c:numRef>
          </c:xVal>
          <c:yVal>
            <c:numRef>
              <c:f>'CASE 1'!$C$27:$G$27</c:f>
              <c:numCache>
                <c:formatCode>General</c:formatCode>
                <c:ptCount val="5"/>
                <c:pt idx="0">
                  <c:v>38</c:v>
                </c:pt>
                <c:pt idx="1">
                  <c:v>78</c:v>
                </c:pt>
                <c:pt idx="2">
                  <c:v>110</c:v>
                </c:pt>
                <c:pt idx="3">
                  <c:v>148</c:v>
                </c:pt>
                <c:pt idx="4">
                  <c:v>180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81-4EF7-A732-4FC0CC85093C}"/>
            </c:ext>
          </c:extLst>
        </c:ser>
        <c:ser>
          <c:idx val="6"/>
          <c:order val="1"/>
          <c:tx>
            <c:v>Transf.</c:v>
          </c:tx>
          <c:spPr>
            <a:ln w="19050">
              <a:noFill/>
            </a:ln>
          </c:spPr>
          <c:marker>
            <c:spPr>
              <a:ln w="53975"/>
            </c:spPr>
          </c:marker>
          <c:xVal>
            <c:numRef>
              <c:f>'CASE 1'!$C$29</c:f>
              <c:numCache>
                <c:formatCode>General</c:formatCode>
                <c:ptCount val="1"/>
                <c:pt idx="0">
                  <c:v>39</c:v>
                </c:pt>
              </c:numCache>
            </c:numRef>
          </c:xVal>
          <c:yVal>
            <c:numRef>
              <c:f>'CASE 1'!$C$30</c:f>
              <c:numCache>
                <c:formatCode>General</c:formatCode>
                <c:ptCount val="1"/>
                <c:pt idx="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81-4EF7-A732-4FC0CC85093C}"/>
            </c:ext>
          </c:extLst>
        </c:ser>
        <c:ser>
          <c:idx val="7"/>
          <c:order val="2"/>
          <c:tx>
            <c:v>Meter</c:v>
          </c:tx>
          <c:spPr>
            <a:ln w="19050">
              <a:noFill/>
            </a:ln>
          </c:spPr>
          <c:marker>
            <c:spPr>
              <a:ln w="53975"/>
            </c:spPr>
          </c:marker>
          <c:xVal>
            <c:numRef>
              <c:f>'CASE 1'!$D$29</c:f>
              <c:numCache>
                <c:formatCode>General</c:formatCode>
                <c:ptCount val="1"/>
                <c:pt idx="0">
                  <c:v>38</c:v>
                </c:pt>
              </c:numCache>
            </c:numRef>
          </c:xVal>
          <c:yVal>
            <c:numRef>
              <c:f>'CASE 1'!$D$30</c:f>
              <c:numCache>
                <c:formatCode>General</c:formatCode>
                <c:ptCount val="1"/>
                <c:pt idx="0">
                  <c:v>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81-4EF7-A732-4FC0CC85093C}"/>
            </c:ext>
          </c:extLst>
        </c:ser>
        <c:ser>
          <c:idx val="8"/>
          <c:order val="3"/>
          <c:tx>
            <c:v>Panel +</c:v>
          </c:tx>
          <c:spPr>
            <a:ln w="19050">
              <a:noFill/>
            </a:ln>
          </c:spPr>
          <c:marker>
            <c:spPr>
              <a:ln w="53975"/>
            </c:spPr>
          </c:marker>
          <c:dPt>
            <c:idx val="6"/>
            <c:marker>
              <c:symbol val="circle"/>
              <c:size val="6"/>
              <c:spPr>
                <a:gradFill rotWithShape="1">
                  <a:gsLst>
                    <a:gs pos="0">
                      <a:schemeClr val="accent3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3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3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53975" cap="rnd">
                  <a:solidFill>
                    <a:schemeClr val="accent3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7BAB-444D-97B8-5BF0863654DC}"/>
              </c:ext>
            </c:extLst>
          </c:dPt>
          <c:xVal>
            <c:numRef>
              <c:f>'CASE 1'!$B$33:$B$122</c:f>
              <c:numCache>
                <c:formatCode>General</c:formatCode>
                <c:ptCount val="9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</c:numCache>
            </c:numRef>
          </c:xVal>
          <c:yVal>
            <c:numRef>
              <c:f>'CASE 1'!$C$33:$C$122</c:f>
              <c:numCache>
                <c:formatCode>General</c:formatCode>
                <c:ptCount val="90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  <c:pt idx="51">
                  <c:v>98</c:v>
                </c:pt>
                <c:pt idx="52">
                  <c:v>96</c:v>
                </c:pt>
                <c:pt idx="53">
                  <c:v>94</c:v>
                </c:pt>
                <c:pt idx="54">
                  <c:v>92</c:v>
                </c:pt>
                <c:pt idx="55">
                  <c:v>90</c:v>
                </c:pt>
                <c:pt idx="56">
                  <c:v>88</c:v>
                </c:pt>
                <c:pt idx="57">
                  <c:v>86</c:v>
                </c:pt>
                <c:pt idx="58">
                  <c:v>84</c:v>
                </c:pt>
                <c:pt idx="59">
                  <c:v>82</c:v>
                </c:pt>
                <c:pt idx="60">
                  <c:v>80</c:v>
                </c:pt>
                <c:pt idx="61">
                  <c:v>78</c:v>
                </c:pt>
                <c:pt idx="62">
                  <c:v>76</c:v>
                </c:pt>
                <c:pt idx="63">
                  <c:v>74</c:v>
                </c:pt>
                <c:pt idx="64">
                  <c:v>72</c:v>
                </c:pt>
                <c:pt idx="65">
                  <c:v>70</c:v>
                </c:pt>
                <c:pt idx="66">
                  <c:v>68</c:v>
                </c:pt>
                <c:pt idx="67">
                  <c:v>66</c:v>
                </c:pt>
                <c:pt idx="68">
                  <c:v>64</c:v>
                </c:pt>
                <c:pt idx="69">
                  <c:v>62</c:v>
                </c:pt>
                <c:pt idx="70">
                  <c:v>60</c:v>
                </c:pt>
                <c:pt idx="71">
                  <c:v>58</c:v>
                </c:pt>
                <c:pt idx="72">
                  <c:v>56</c:v>
                </c:pt>
                <c:pt idx="73">
                  <c:v>54</c:v>
                </c:pt>
                <c:pt idx="74">
                  <c:v>52</c:v>
                </c:pt>
                <c:pt idx="75">
                  <c:v>50</c:v>
                </c:pt>
                <c:pt idx="76">
                  <c:v>48</c:v>
                </c:pt>
                <c:pt idx="77">
                  <c:v>46</c:v>
                </c:pt>
                <c:pt idx="78">
                  <c:v>44</c:v>
                </c:pt>
                <c:pt idx="79">
                  <c:v>42</c:v>
                </c:pt>
                <c:pt idx="80">
                  <c:v>40</c:v>
                </c:pt>
                <c:pt idx="81">
                  <c:v>38</c:v>
                </c:pt>
                <c:pt idx="82">
                  <c:v>36</c:v>
                </c:pt>
                <c:pt idx="83">
                  <c:v>34</c:v>
                </c:pt>
                <c:pt idx="84">
                  <c:v>32</c:v>
                </c:pt>
                <c:pt idx="85">
                  <c:v>30</c:v>
                </c:pt>
                <c:pt idx="86">
                  <c:v>28</c:v>
                </c:pt>
                <c:pt idx="87">
                  <c:v>26</c:v>
                </c:pt>
                <c:pt idx="88">
                  <c:v>24</c:v>
                </c:pt>
                <c:pt idx="89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D81-4EF7-A732-4FC0CC85093C}"/>
            </c:ext>
          </c:extLst>
        </c:ser>
        <c:ser>
          <c:idx val="9"/>
          <c:order val="4"/>
          <c:tx>
            <c:v>Panel -</c:v>
          </c:tx>
          <c:spPr>
            <a:ln w="19050">
              <a:noFill/>
            </a:ln>
          </c:spPr>
          <c:marker>
            <c:spPr>
              <a:ln w="53975"/>
            </c:spPr>
          </c:marker>
          <c:xVal>
            <c:numRef>
              <c:f>'CASE 1'!$D$33:$D$122</c:f>
              <c:numCache>
                <c:formatCode>General</c:formatCode>
                <c:ptCount val="90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26</c:v>
                </c:pt>
                <c:pt idx="17">
                  <c:v>26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  <c:pt idx="27">
                  <c:v>26</c:v>
                </c:pt>
                <c:pt idx="28">
                  <c:v>26</c:v>
                </c:pt>
                <c:pt idx="29">
                  <c:v>26</c:v>
                </c:pt>
                <c:pt idx="30">
                  <c:v>26</c:v>
                </c:pt>
                <c:pt idx="31">
                  <c:v>26</c:v>
                </c:pt>
                <c:pt idx="32">
                  <c:v>26</c:v>
                </c:pt>
                <c:pt idx="33">
                  <c:v>26</c:v>
                </c:pt>
                <c:pt idx="34">
                  <c:v>26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26</c:v>
                </c:pt>
                <c:pt idx="39">
                  <c:v>26</c:v>
                </c:pt>
                <c:pt idx="40">
                  <c:v>26</c:v>
                </c:pt>
                <c:pt idx="41">
                  <c:v>26</c:v>
                </c:pt>
                <c:pt idx="42">
                  <c:v>26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26</c:v>
                </c:pt>
                <c:pt idx="47">
                  <c:v>26</c:v>
                </c:pt>
                <c:pt idx="48">
                  <c:v>26</c:v>
                </c:pt>
                <c:pt idx="49">
                  <c:v>26</c:v>
                </c:pt>
                <c:pt idx="50">
                  <c:v>26</c:v>
                </c:pt>
                <c:pt idx="51">
                  <c:v>26</c:v>
                </c:pt>
                <c:pt idx="52">
                  <c:v>26</c:v>
                </c:pt>
                <c:pt idx="53">
                  <c:v>26</c:v>
                </c:pt>
                <c:pt idx="54">
                  <c:v>26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26</c:v>
                </c:pt>
                <c:pt idx="66">
                  <c:v>26</c:v>
                </c:pt>
                <c:pt idx="67">
                  <c:v>26</c:v>
                </c:pt>
                <c:pt idx="68">
                  <c:v>26</c:v>
                </c:pt>
                <c:pt idx="69">
                  <c:v>26</c:v>
                </c:pt>
                <c:pt idx="70">
                  <c:v>26</c:v>
                </c:pt>
                <c:pt idx="71">
                  <c:v>26</c:v>
                </c:pt>
                <c:pt idx="72">
                  <c:v>26</c:v>
                </c:pt>
                <c:pt idx="73">
                  <c:v>26</c:v>
                </c:pt>
                <c:pt idx="74">
                  <c:v>26</c:v>
                </c:pt>
                <c:pt idx="75">
                  <c:v>26</c:v>
                </c:pt>
                <c:pt idx="76">
                  <c:v>26</c:v>
                </c:pt>
                <c:pt idx="77">
                  <c:v>26</c:v>
                </c:pt>
                <c:pt idx="78">
                  <c:v>26</c:v>
                </c:pt>
                <c:pt idx="79">
                  <c:v>26</c:v>
                </c:pt>
                <c:pt idx="80">
                  <c:v>26</c:v>
                </c:pt>
                <c:pt idx="81">
                  <c:v>26</c:v>
                </c:pt>
                <c:pt idx="82">
                  <c:v>26</c:v>
                </c:pt>
                <c:pt idx="83">
                  <c:v>26</c:v>
                </c:pt>
                <c:pt idx="84">
                  <c:v>26</c:v>
                </c:pt>
                <c:pt idx="85">
                  <c:v>26</c:v>
                </c:pt>
                <c:pt idx="86">
                  <c:v>26</c:v>
                </c:pt>
                <c:pt idx="87">
                  <c:v>26</c:v>
                </c:pt>
                <c:pt idx="88">
                  <c:v>26</c:v>
                </c:pt>
                <c:pt idx="89">
                  <c:v>26</c:v>
                </c:pt>
              </c:numCache>
            </c:numRef>
          </c:xVal>
          <c:yVal>
            <c:numRef>
              <c:f>'CASE 1'!$E$33:$E$122</c:f>
              <c:numCache>
                <c:formatCode>General</c:formatCode>
                <c:ptCount val="90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  <c:pt idx="51">
                  <c:v>98</c:v>
                </c:pt>
                <c:pt idx="52">
                  <c:v>96</c:v>
                </c:pt>
                <c:pt idx="53">
                  <c:v>94</c:v>
                </c:pt>
                <c:pt idx="54">
                  <c:v>92</c:v>
                </c:pt>
                <c:pt idx="55">
                  <c:v>90</c:v>
                </c:pt>
                <c:pt idx="56">
                  <c:v>88</c:v>
                </c:pt>
                <c:pt idx="57">
                  <c:v>86</c:v>
                </c:pt>
                <c:pt idx="58">
                  <c:v>84</c:v>
                </c:pt>
                <c:pt idx="59">
                  <c:v>82</c:v>
                </c:pt>
                <c:pt idx="60">
                  <c:v>80</c:v>
                </c:pt>
                <c:pt idx="61">
                  <c:v>78</c:v>
                </c:pt>
                <c:pt idx="62">
                  <c:v>76</c:v>
                </c:pt>
                <c:pt idx="63">
                  <c:v>74</c:v>
                </c:pt>
                <c:pt idx="64">
                  <c:v>72</c:v>
                </c:pt>
                <c:pt idx="65">
                  <c:v>70</c:v>
                </c:pt>
                <c:pt idx="66">
                  <c:v>68</c:v>
                </c:pt>
                <c:pt idx="67">
                  <c:v>66</c:v>
                </c:pt>
                <c:pt idx="68">
                  <c:v>64</c:v>
                </c:pt>
                <c:pt idx="69">
                  <c:v>62</c:v>
                </c:pt>
                <c:pt idx="70">
                  <c:v>60</c:v>
                </c:pt>
                <c:pt idx="71">
                  <c:v>58</c:v>
                </c:pt>
                <c:pt idx="72">
                  <c:v>56</c:v>
                </c:pt>
                <c:pt idx="73">
                  <c:v>54</c:v>
                </c:pt>
                <c:pt idx="74">
                  <c:v>52</c:v>
                </c:pt>
                <c:pt idx="75">
                  <c:v>50</c:v>
                </c:pt>
                <c:pt idx="76">
                  <c:v>48</c:v>
                </c:pt>
                <c:pt idx="77">
                  <c:v>46</c:v>
                </c:pt>
                <c:pt idx="78">
                  <c:v>44</c:v>
                </c:pt>
                <c:pt idx="79">
                  <c:v>42</c:v>
                </c:pt>
                <c:pt idx="80">
                  <c:v>40</c:v>
                </c:pt>
                <c:pt idx="81">
                  <c:v>38</c:v>
                </c:pt>
                <c:pt idx="82">
                  <c:v>36</c:v>
                </c:pt>
                <c:pt idx="83">
                  <c:v>34</c:v>
                </c:pt>
                <c:pt idx="84">
                  <c:v>32</c:v>
                </c:pt>
                <c:pt idx="85">
                  <c:v>30</c:v>
                </c:pt>
                <c:pt idx="86">
                  <c:v>28</c:v>
                </c:pt>
                <c:pt idx="87">
                  <c:v>26</c:v>
                </c:pt>
                <c:pt idx="88">
                  <c:v>24</c:v>
                </c:pt>
                <c:pt idx="89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D81-4EF7-A732-4FC0CC850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169855"/>
        <c:axId val="117173215"/>
      </c:scatterChart>
      <c:valAx>
        <c:axId val="117169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Eixo X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173215"/>
        <c:crosses val="autoZero"/>
        <c:crossBetween val="midCat"/>
      </c:valAx>
      <c:valAx>
        <c:axId val="117173215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Eixo Y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1698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Posição Usina Solar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6774296288323207E-2"/>
          <c:y val="5.0053968111574178E-2"/>
          <c:w val="0.89540524203808214"/>
          <c:h val="0.80246704624397003"/>
        </c:manualLayout>
      </c:layout>
      <c:scatterChart>
        <c:scatterStyle val="lineMarker"/>
        <c:varyColors val="0"/>
        <c:ser>
          <c:idx val="5"/>
          <c:order val="0"/>
          <c:tx>
            <c:v>Inv</c:v>
          </c:tx>
          <c:spPr>
            <a:ln w="19050">
              <a:noFill/>
            </a:ln>
          </c:spPr>
          <c:marker>
            <c:spPr>
              <a:ln w="53975"/>
            </c:spPr>
          </c:marker>
          <c:xVal>
            <c:numRef>
              <c:f>'CASE 2'!$C$26:$G$26</c:f>
              <c:numCache>
                <c:formatCode>General</c:formatCode>
                <c:ptCount val="5"/>
                <c:pt idx="0">
                  <c:v>38</c:v>
                </c:pt>
                <c:pt idx="1">
                  <c:v>39</c:v>
                </c:pt>
                <c:pt idx="2">
                  <c:v>40</c:v>
                </c:pt>
                <c:pt idx="3">
                  <c:v>41</c:v>
                </c:pt>
                <c:pt idx="4">
                  <c:v>42</c:v>
                </c:pt>
              </c:numCache>
            </c:numRef>
          </c:xVal>
          <c:yVal>
            <c:numRef>
              <c:f>'CASE 2'!$C$27:$G$27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99-4EB0-AA54-2C861DA0D209}"/>
            </c:ext>
          </c:extLst>
        </c:ser>
        <c:ser>
          <c:idx val="6"/>
          <c:order val="1"/>
          <c:tx>
            <c:v>Transf.</c:v>
          </c:tx>
          <c:spPr>
            <a:ln w="19050">
              <a:noFill/>
            </a:ln>
          </c:spPr>
          <c:marker>
            <c:spPr>
              <a:ln w="53975"/>
            </c:spPr>
          </c:marker>
          <c:xVal>
            <c:numRef>
              <c:f>'CASE 2'!$C$29</c:f>
              <c:numCache>
                <c:formatCode>General</c:formatCode>
                <c:ptCount val="1"/>
                <c:pt idx="0">
                  <c:v>39</c:v>
                </c:pt>
              </c:numCache>
            </c:numRef>
          </c:xVal>
          <c:yVal>
            <c:numRef>
              <c:f>'CASE 2'!$C$30</c:f>
              <c:numCache>
                <c:formatCode>General</c:formatCode>
                <c:ptCount val="1"/>
                <c:pt idx="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99-4EB0-AA54-2C861DA0D209}"/>
            </c:ext>
          </c:extLst>
        </c:ser>
        <c:ser>
          <c:idx val="7"/>
          <c:order val="2"/>
          <c:tx>
            <c:v>Meter</c:v>
          </c:tx>
          <c:spPr>
            <a:ln w="19050">
              <a:noFill/>
            </a:ln>
          </c:spPr>
          <c:marker>
            <c:spPr>
              <a:ln w="53975"/>
            </c:spPr>
          </c:marker>
          <c:xVal>
            <c:numRef>
              <c:f>'CASE 2'!$D$29</c:f>
              <c:numCache>
                <c:formatCode>General</c:formatCode>
                <c:ptCount val="1"/>
                <c:pt idx="0">
                  <c:v>38</c:v>
                </c:pt>
              </c:numCache>
            </c:numRef>
          </c:xVal>
          <c:yVal>
            <c:numRef>
              <c:f>'CASE 2'!$D$30</c:f>
              <c:numCache>
                <c:formatCode>General</c:formatCode>
                <c:ptCount val="1"/>
                <c:pt idx="0">
                  <c:v>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99-4EB0-AA54-2C861DA0D209}"/>
            </c:ext>
          </c:extLst>
        </c:ser>
        <c:ser>
          <c:idx val="8"/>
          <c:order val="3"/>
          <c:tx>
            <c:v>Panel +</c:v>
          </c:tx>
          <c:spPr>
            <a:ln w="19050">
              <a:noFill/>
            </a:ln>
          </c:spPr>
          <c:marker>
            <c:spPr>
              <a:ln w="53975"/>
            </c:spPr>
          </c:marker>
          <c:dPt>
            <c:idx val="6"/>
            <c:marker>
              <c:symbol val="circle"/>
              <c:size val="6"/>
              <c:spPr>
                <a:gradFill rotWithShape="1">
                  <a:gsLst>
                    <a:gs pos="0">
                      <a:schemeClr val="accent3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3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3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53975" cap="rnd">
                  <a:solidFill>
                    <a:schemeClr val="accent3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799-4EB0-AA54-2C861DA0D209}"/>
              </c:ext>
            </c:extLst>
          </c:dPt>
          <c:xVal>
            <c:numRef>
              <c:f>'CASE 2'!$B$33:$B$122</c:f>
              <c:numCache>
                <c:formatCode>General</c:formatCode>
                <c:ptCount val="9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</c:numCache>
            </c:numRef>
          </c:xVal>
          <c:yVal>
            <c:numRef>
              <c:f>'CASE 2'!$C$33:$C$122</c:f>
              <c:numCache>
                <c:formatCode>General</c:formatCode>
                <c:ptCount val="90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  <c:pt idx="51">
                  <c:v>98</c:v>
                </c:pt>
                <c:pt idx="52">
                  <c:v>96</c:v>
                </c:pt>
                <c:pt idx="53">
                  <c:v>94</c:v>
                </c:pt>
                <c:pt idx="54">
                  <c:v>92</c:v>
                </c:pt>
                <c:pt idx="55">
                  <c:v>90</c:v>
                </c:pt>
                <c:pt idx="56">
                  <c:v>88</c:v>
                </c:pt>
                <c:pt idx="57">
                  <c:v>86</c:v>
                </c:pt>
                <c:pt idx="58">
                  <c:v>84</c:v>
                </c:pt>
                <c:pt idx="59">
                  <c:v>82</c:v>
                </c:pt>
                <c:pt idx="60">
                  <c:v>80</c:v>
                </c:pt>
                <c:pt idx="61">
                  <c:v>78</c:v>
                </c:pt>
                <c:pt idx="62">
                  <c:v>76</c:v>
                </c:pt>
                <c:pt idx="63">
                  <c:v>74</c:v>
                </c:pt>
                <c:pt idx="64">
                  <c:v>72</c:v>
                </c:pt>
                <c:pt idx="65">
                  <c:v>70</c:v>
                </c:pt>
                <c:pt idx="66">
                  <c:v>68</c:v>
                </c:pt>
                <c:pt idx="67">
                  <c:v>66</c:v>
                </c:pt>
                <c:pt idx="68">
                  <c:v>64</c:v>
                </c:pt>
                <c:pt idx="69">
                  <c:v>62</c:v>
                </c:pt>
                <c:pt idx="70">
                  <c:v>60</c:v>
                </c:pt>
                <c:pt idx="71">
                  <c:v>58</c:v>
                </c:pt>
                <c:pt idx="72">
                  <c:v>56</c:v>
                </c:pt>
                <c:pt idx="73">
                  <c:v>54</c:v>
                </c:pt>
                <c:pt idx="74">
                  <c:v>52</c:v>
                </c:pt>
                <c:pt idx="75">
                  <c:v>50</c:v>
                </c:pt>
                <c:pt idx="76">
                  <c:v>48</c:v>
                </c:pt>
                <c:pt idx="77">
                  <c:v>46</c:v>
                </c:pt>
                <c:pt idx="78">
                  <c:v>44</c:v>
                </c:pt>
                <c:pt idx="79">
                  <c:v>42</c:v>
                </c:pt>
                <c:pt idx="80">
                  <c:v>40</c:v>
                </c:pt>
                <c:pt idx="81">
                  <c:v>38</c:v>
                </c:pt>
                <c:pt idx="82">
                  <c:v>36</c:v>
                </c:pt>
                <c:pt idx="83">
                  <c:v>34</c:v>
                </c:pt>
                <c:pt idx="84">
                  <c:v>32</c:v>
                </c:pt>
                <c:pt idx="85">
                  <c:v>30</c:v>
                </c:pt>
                <c:pt idx="86">
                  <c:v>28</c:v>
                </c:pt>
                <c:pt idx="87">
                  <c:v>26</c:v>
                </c:pt>
                <c:pt idx="88">
                  <c:v>24</c:v>
                </c:pt>
                <c:pt idx="89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99-4EB0-AA54-2C861DA0D209}"/>
            </c:ext>
          </c:extLst>
        </c:ser>
        <c:ser>
          <c:idx val="9"/>
          <c:order val="4"/>
          <c:tx>
            <c:v>Panel -</c:v>
          </c:tx>
          <c:spPr>
            <a:ln w="19050">
              <a:noFill/>
            </a:ln>
          </c:spPr>
          <c:marker>
            <c:spPr>
              <a:ln w="53975"/>
            </c:spPr>
          </c:marker>
          <c:xVal>
            <c:numRef>
              <c:f>'CASE 2'!$D$33:$D$122</c:f>
              <c:numCache>
                <c:formatCode>General</c:formatCode>
                <c:ptCount val="90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26</c:v>
                </c:pt>
                <c:pt idx="17">
                  <c:v>26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  <c:pt idx="27">
                  <c:v>26</c:v>
                </c:pt>
                <c:pt idx="28">
                  <c:v>26</c:v>
                </c:pt>
                <c:pt idx="29">
                  <c:v>26</c:v>
                </c:pt>
                <c:pt idx="30">
                  <c:v>26</c:v>
                </c:pt>
                <c:pt idx="31">
                  <c:v>26</c:v>
                </c:pt>
                <c:pt idx="32">
                  <c:v>26</c:v>
                </c:pt>
                <c:pt idx="33">
                  <c:v>26</c:v>
                </c:pt>
                <c:pt idx="34">
                  <c:v>26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26</c:v>
                </c:pt>
                <c:pt idx="39">
                  <c:v>26</c:v>
                </c:pt>
                <c:pt idx="40">
                  <c:v>26</c:v>
                </c:pt>
                <c:pt idx="41">
                  <c:v>26</c:v>
                </c:pt>
                <c:pt idx="42">
                  <c:v>26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26</c:v>
                </c:pt>
                <c:pt idx="47">
                  <c:v>26</c:v>
                </c:pt>
                <c:pt idx="48">
                  <c:v>26</c:v>
                </c:pt>
                <c:pt idx="49">
                  <c:v>26</c:v>
                </c:pt>
                <c:pt idx="50">
                  <c:v>26</c:v>
                </c:pt>
                <c:pt idx="51">
                  <c:v>26</c:v>
                </c:pt>
                <c:pt idx="52">
                  <c:v>26</c:v>
                </c:pt>
                <c:pt idx="53">
                  <c:v>26</c:v>
                </c:pt>
                <c:pt idx="54">
                  <c:v>26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26</c:v>
                </c:pt>
                <c:pt idx="66">
                  <c:v>26</c:v>
                </c:pt>
                <c:pt idx="67">
                  <c:v>26</c:v>
                </c:pt>
                <c:pt idx="68">
                  <c:v>26</c:v>
                </c:pt>
                <c:pt idx="69">
                  <c:v>26</c:v>
                </c:pt>
                <c:pt idx="70">
                  <c:v>26</c:v>
                </c:pt>
                <c:pt idx="71">
                  <c:v>26</c:v>
                </c:pt>
                <c:pt idx="72">
                  <c:v>26</c:v>
                </c:pt>
                <c:pt idx="73">
                  <c:v>26</c:v>
                </c:pt>
                <c:pt idx="74">
                  <c:v>26</c:v>
                </c:pt>
                <c:pt idx="75">
                  <c:v>26</c:v>
                </c:pt>
                <c:pt idx="76">
                  <c:v>26</c:v>
                </c:pt>
                <c:pt idx="77">
                  <c:v>26</c:v>
                </c:pt>
                <c:pt idx="78">
                  <c:v>26</c:v>
                </c:pt>
                <c:pt idx="79">
                  <c:v>26</c:v>
                </c:pt>
                <c:pt idx="80">
                  <c:v>26</c:v>
                </c:pt>
                <c:pt idx="81">
                  <c:v>26</c:v>
                </c:pt>
                <c:pt idx="82">
                  <c:v>26</c:v>
                </c:pt>
                <c:pt idx="83">
                  <c:v>26</c:v>
                </c:pt>
                <c:pt idx="84">
                  <c:v>26</c:v>
                </c:pt>
                <c:pt idx="85">
                  <c:v>26</c:v>
                </c:pt>
                <c:pt idx="86">
                  <c:v>26</c:v>
                </c:pt>
                <c:pt idx="87">
                  <c:v>26</c:v>
                </c:pt>
                <c:pt idx="88">
                  <c:v>26</c:v>
                </c:pt>
                <c:pt idx="89">
                  <c:v>26</c:v>
                </c:pt>
              </c:numCache>
            </c:numRef>
          </c:xVal>
          <c:yVal>
            <c:numRef>
              <c:f>'CASE 2'!$E$33:$E$122</c:f>
              <c:numCache>
                <c:formatCode>General</c:formatCode>
                <c:ptCount val="90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  <c:pt idx="51">
                  <c:v>98</c:v>
                </c:pt>
                <c:pt idx="52">
                  <c:v>96</c:v>
                </c:pt>
                <c:pt idx="53">
                  <c:v>94</c:v>
                </c:pt>
                <c:pt idx="54">
                  <c:v>92</c:v>
                </c:pt>
                <c:pt idx="55">
                  <c:v>90</c:v>
                </c:pt>
                <c:pt idx="56">
                  <c:v>88</c:v>
                </c:pt>
                <c:pt idx="57">
                  <c:v>86</c:v>
                </c:pt>
                <c:pt idx="58">
                  <c:v>84</c:v>
                </c:pt>
                <c:pt idx="59">
                  <c:v>82</c:v>
                </c:pt>
                <c:pt idx="60">
                  <c:v>80</c:v>
                </c:pt>
                <c:pt idx="61">
                  <c:v>78</c:v>
                </c:pt>
                <c:pt idx="62">
                  <c:v>76</c:v>
                </c:pt>
                <c:pt idx="63">
                  <c:v>74</c:v>
                </c:pt>
                <c:pt idx="64">
                  <c:v>72</c:v>
                </c:pt>
                <c:pt idx="65">
                  <c:v>70</c:v>
                </c:pt>
                <c:pt idx="66">
                  <c:v>68</c:v>
                </c:pt>
                <c:pt idx="67">
                  <c:v>66</c:v>
                </c:pt>
                <c:pt idx="68">
                  <c:v>64</c:v>
                </c:pt>
                <c:pt idx="69">
                  <c:v>62</c:v>
                </c:pt>
                <c:pt idx="70">
                  <c:v>60</c:v>
                </c:pt>
                <c:pt idx="71">
                  <c:v>58</c:v>
                </c:pt>
                <c:pt idx="72">
                  <c:v>56</c:v>
                </c:pt>
                <c:pt idx="73">
                  <c:v>54</c:v>
                </c:pt>
                <c:pt idx="74">
                  <c:v>52</c:v>
                </c:pt>
                <c:pt idx="75">
                  <c:v>50</c:v>
                </c:pt>
                <c:pt idx="76">
                  <c:v>48</c:v>
                </c:pt>
                <c:pt idx="77">
                  <c:v>46</c:v>
                </c:pt>
                <c:pt idx="78">
                  <c:v>44</c:v>
                </c:pt>
                <c:pt idx="79">
                  <c:v>42</c:v>
                </c:pt>
                <c:pt idx="80">
                  <c:v>40</c:v>
                </c:pt>
                <c:pt idx="81">
                  <c:v>38</c:v>
                </c:pt>
                <c:pt idx="82">
                  <c:v>36</c:v>
                </c:pt>
                <c:pt idx="83">
                  <c:v>34</c:v>
                </c:pt>
                <c:pt idx="84">
                  <c:v>32</c:v>
                </c:pt>
                <c:pt idx="85">
                  <c:v>30</c:v>
                </c:pt>
                <c:pt idx="86">
                  <c:v>28</c:v>
                </c:pt>
                <c:pt idx="87">
                  <c:v>26</c:v>
                </c:pt>
                <c:pt idx="88">
                  <c:v>24</c:v>
                </c:pt>
                <c:pt idx="89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799-4EB0-AA54-2C861DA0D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169855"/>
        <c:axId val="117173215"/>
      </c:scatterChart>
      <c:valAx>
        <c:axId val="117169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Eixo X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173215"/>
        <c:crosses val="autoZero"/>
        <c:crossBetween val="midCat"/>
      </c:valAx>
      <c:valAx>
        <c:axId val="117173215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Eixo Y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1698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Posição Usina Solar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6774296288323207E-2"/>
          <c:y val="5.0053968111574178E-2"/>
          <c:w val="0.89540524203808214"/>
          <c:h val="0.80246704624397003"/>
        </c:manualLayout>
      </c:layout>
      <c:scatterChart>
        <c:scatterStyle val="lineMarker"/>
        <c:varyColors val="0"/>
        <c:ser>
          <c:idx val="5"/>
          <c:order val="0"/>
          <c:tx>
            <c:v>Inv</c:v>
          </c:tx>
          <c:spPr>
            <a:ln w="19050">
              <a:noFill/>
            </a:ln>
          </c:spPr>
          <c:marker>
            <c:spPr>
              <a:ln w="53975"/>
            </c:spPr>
          </c:marker>
          <c:xVal>
            <c:numRef>
              <c:f>'AG CASE '!$C$26:$G$26</c:f>
              <c:numCache>
                <c:formatCode>General</c:formatCode>
                <c:ptCount val="5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</c:numCache>
            </c:numRef>
          </c:xVal>
          <c:yVal>
            <c:numRef>
              <c:f>'AG CASE '!$C$27:$G$27</c:f>
              <c:numCache>
                <c:formatCode>General</c:formatCode>
                <c:ptCount val="5"/>
                <c:pt idx="0">
                  <c:v>100</c:v>
                </c:pt>
                <c:pt idx="1">
                  <c:v>104</c:v>
                </c:pt>
                <c:pt idx="2">
                  <c:v>108</c:v>
                </c:pt>
                <c:pt idx="3">
                  <c:v>112</c:v>
                </c:pt>
                <c:pt idx="4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53-4B80-8E58-25DBE643F86B}"/>
            </c:ext>
          </c:extLst>
        </c:ser>
        <c:ser>
          <c:idx val="6"/>
          <c:order val="1"/>
          <c:tx>
            <c:v>Transf.</c:v>
          </c:tx>
          <c:spPr>
            <a:ln w="19050">
              <a:noFill/>
            </a:ln>
          </c:spPr>
          <c:marker>
            <c:spPr>
              <a:ln w="53975"/>
            </c:spPr>
          </c:marker>
          <c:xVal>
            <c:numRef>
              <c:f>'AG CASE '!$C$29</c:f>
              <c:numCache>
                <c:formatCode>General</c:formatCode>
                <c:ptCount val="1"/>
                <c:pt idx="0">
                  <c:v>32</c:v>
                </c:pt>
              </c:numCache>
            </c:numRef>
          </c:xVal>
          <c:yVal>
            <c:numRef>
              <c:f>'AG CASE '!$C$30</c:f>
              <c:numCache>
                <c:formatCode>General</c:formatCode>
                <c:ptCount val="1"/>
                <c:pt idx="0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53-4B80-8E58-25DBE643F86B}"/>
            </c:ext>
          </c:extLst>
        </c:ser>
        <c:ser>
          <c:idx val="8"/>
          <c:order val="2"/>
          <c:tx>
            <c:v>Panel +</c:v>
          </c:tx>
          <c:spPr>
            <a:ln w="19050">
              <a:noFill/>
            </a:ln>
          </c:spPr>
          <c:marker>
            <c:spPr>
              <a:ln w="53975"/>
            </c:spPr>
          </c:marker>
          <c:dPt>
            <c:idx val="6"/>
            <c:marker>
              <c:symbol val="circle"/>
              <c:size val="6"/>
              <c:spPr>
                <a:gradFill rotWithShape="1">
                  <a:gsLst>
                    <a:gs pos="0">
                      <a:schemeClr val="accent3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3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3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53975" cap="rnd">
                  <a:solidFill>
                    <a:schemeClr val="accent3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0453-4B80-8E58-25DBE643F86B}"/>
              </c:ext>
            </c:extLst>
          </c:dPt>
          <c:xVal>
            <c:numRef>
              <c:f>'AG CASE '!$B$33:$B$122</c:f>
              <c:numCache>
                <c:formatCode>General</c:formatCode>
                <c:ptCount val="9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</c:numCache>
            </c:numRef>
          </c:xVal>
          <c:yVal>
            <c:numRef>
              <c:f>'AG CASE '!$C$33:$C$122</c:f>
              <c:numCache>
                <c:formatCode>General</c:formatCode>
                <c:ptCount val="90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  <c:pt idx="51">
                  <c:v>98</c:v>
                </c:pt>
                <c:pt idx="52">
                  <c:v>96</c:v>
                </c:pt>
                <c:pt idx="53">
                  <c:v>94</c:v>
                </c:pt>
                <c:pt idx="54">
                  <c:v>92</c:v>
                </c:pt>
                <c:pt idx="55">
                  <c:v>90</c:v>
                </c:pt>
                <c:pt idx="56">
                  <c:v>88</c:v>
                </c:pt>
                <c:pt idx="57">
                  <c:v>86</c:v>
                </c:pt>
                <c:pt idx="58">
                  <c:v>84</c:v>
                </c:pt>
                <c:pt idx="59">
                  <c:v>82</c:v>
                </c:pt>
                <c:pt idx="60">
                  <c:v>80</c:v>
                </c:pt>
                <c:pt idx="61">
                  <c:v>78</c:v>
                </c:pt>
                <c:pt idx="62">
                  <c:v>76</c:v>
                </c:pt>
                <c:pt idx="63">
                  <c:v>74</c:v>
                </c:pt>
                <c:pt idx="64">
                  <c:v>72</c:v>
                </c:pt>
                <c:pt idx="65">
                  <c:v>70</c:v>
                </c:pt>
                <c:pt idx="66">
                  <c:v>68</c:v>
                </c:pt>
                <c:pt idx="67">
                  <c:v>66</c:v>
                </c:pt>
                <c:pt idx="68">
                  <c:v>64</c:v>
                </c:pt>
                <c:pt idx="69">
                  <c:v>62</c:v>
                </c:pt>
                <c:pt idx="70">
                  <c:v>60</c:v>
                </c:pt>
                <c:pt idx="71">
                  <c:v>58</c:v>
                </c:pt>
                <c:pt idx="72">
                  <c:v>56</c:v>
                </c:pt>
                <c:pt idx="73">
                  <c:v>54</c:v>
                </c:pt>
                <c:pt idx="74">
                  <c:v>52</c:v>
                </c:pt>
                <c:pt idx="75">
                  <c:v>50</c:v>
                </c:pt>
                <c:pt idx="76">
                  <c:v>48</c:v>
                </c:pt>
                <c:pt idx="77">
                  <c:v>46</c:v>
                </c:pt>
                <c:pt idx="78">
                  <c:v>44</c:v>
                </c:pt>
                <c:pt idx="79">
                  <c:v>42</c:v>
                </c:pt>
                <c:pt idx="80">
                  <c:v>40</c:v>
                </c:pt>
                <c:pt idx="81">
                  <c:v>38</c:v>
                </c:pt>
                <c:pt idx="82">
                  <c:v>36</c:v>
                </c:pt>
                <c:pt idx="83">
                  <c:v>34</c:v>
                </c:pt>
                <c:pt idx="84">
                  <c:v>32</c:v>
                </c:pt>
                <c:pt idx="85">
                  <c:v>30</c:v>
                </c:pt>
                <c:pt idx="86">
                  <c:v>28</c:v>
                </c:pt>
                <c:pt idx="87">
                  <c:v>26</c:v>
                </c:pt>
                <c:pt idx="88">
                  <c:v>24</c:v>
                </c:pt>
                <c:pt idx="89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453-4B80-8E58-25DBE643F86B}"/>
            </c:ext>
          </c:extLst>
        </c:ser>
        <c:ser>
          <c:idx val="9"/>
          <c:order val="3"/>
          <c:tx>
            <c:v>Panel -</c:v>
          </c:tx>
          <c:spPr>
            <a:ln w="19050">
              <a:noFill/>
            </a:ln>
          </c:spPr>
          <c:marker>
            <c:spPr>
              <a:ln w="53975"/>
            </c:spPr>
          </c:marker>
          <c:xVal>
            <c:numRef>
              <c:f>'AG CASE '!$D$33:$D$122</c:f>
              <c:numCache>
                <c:formatCode>General</c:formatCode>
                <c:ptCount val="90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26</c:v>
                </c:pt>
                <c:pt idx="17">
                  <c:v>26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  <c:pt idx="27">
                  <c:v>26</c:v>
                </c:pt>
                <c:pt idx="28">
                  <c:v>26</c:v>
                </c:pt>
                <c:pt idx="29">
                  <c:v>26</c:v>
                </c:pt>
                <c:pt idx="30">
                  <c:v>26</c:v>
                </c:pt>
                <c:pt idx="31">
                  <c:v>26</c:v>
                </c:pt>
                <c:pt idx="32">
                  <c:v>26</c:v>
                </c:pt>
                <c:pt idx="33">
                  <c:v>26</c:v>
                </c:pt>
                <c:pt idx="34">
                  <c:v>26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26</c:v>
                </c:pt>
                <c:pt idx="39">
                  <c:v>26</c:v>
                </c:pt>
                <c:pt idx="40">
                  <c:v>26</c:v>
                </c:pt>
                <c:pt idx="41">
                  <c:v>26</c:v>
                </c:pt>
                <c:pt idx="42">
                  <c:v>26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26</c:v>
                </c:pt>
                <c:pt idx="47">
                  <c:v>26</c:v>
                </c:pt>
                <c:pt idx="48">
                  <c:v>26</c:v>
                </c:pt>
                <c:pt idx="49">
                  <c:v>26</c:v>
                </c:pt>
                <c:pt idx="50">
                  <c:v>26</c:v>
                </c:pt>
                <c:pt idx="51">
                  <c:v>26</c:v>
                </c:pt>
                <c:pt idx="52">
                  <c:v>26</c:v>
                </c:pt>
                <c:pt idx="53">
                  <c:v>26</c:v>
                </c:pt>
                <c:pt idx="54">
                  <c:v>26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26</c:v>
                </c:pt>
                <c:pt idx="66">
                  <c:v>26</c:v>
                </c:pt>
                <c:pt idx="67">
                  <c:v>26</c:v>
                </c:pt>
                <c:pt idx="68">
                  <c:v>26</c:v>
                </c:pt>
                <c:pt idx="69">
                  <c:v>26</c:v>
                </c:pt>
                <c:pt idx="70">
                  <c:v>26</c:v>
                </c:pt>
                <c:pt idx="71">
                  <c:v>26</c:v>
                </c:pt>
                <c:pt idx="72">
                  <c:v>26</c:v>
                </c:pt>
                <c:pt idx="73">
                  <c:v>26</c:v>
                </c:pt>
                <c:pt idx="74">
                  <c:v>26</c:v>
                </c:pt>
                <c:pt idx="75">
                  <c:v>26</c:v>
                </c:pt>
                <c:pt idx="76">
                  <c:v>26</c:v>
                </c:pt>
                <c:pt idx="77">
                  <c:v>26</c:v>
                </c:pt>
                <c:pt idx="78">
                  <c:v>26</c:v>
                </c:pt>
                <c:pt idx="79">
                  <c:v>26</c:v>
                </c:pt>
                <c:pt idx="80">
                  <c:v>26</c:v>
                </c:pt>
                <c:pt idx="81">
                  <c:v>26</c:v>
                </c:pt>
                <c:pt idx="82">
                  <c:v>26</c:v>
                </c:pt>
                <c:pt idx="83">
                  <c:v>26</c:v>
                </c:pt>
                <c:pt idx="84">
                  <c:v>26</c:v>
                </c:pt>
                <c:pt idx="85">
                  <c:v>26</c:v>
                </c:pt>
                <c:pt idx="86">
                  <c:v>26</c:v>
                </c:pt>
                <c:pt idx="87">
                  <c:v>26</c:v>
                </c:pt>
                <c:pt idx="88">
                  <c:v>26</c:v>
                </c:pt>
                <c:pt idx="89">
                  <c:v>26</c:v>
                </c:pt>
              </c:numCache>
            </c:numRef>
          </c:xVal>
          <c:yVal>
            <c:numRef>
              <c:f>'AG CASE '!$E$33:$E$122</c:f>
              <c:numCache>
                <c:formatCode>General</c:formatCode>
                <c:ptCount val="90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  <c:pt idx="51">
                  <c:v>98</c:v>
                </c:pt>
                <c:pt idx="52">
                  <c:v>96</c:v>
                </c:pt>
                <c:pt idx="53">
                  <c:v>94</c:v>
                </c:pt>
                <c:pt idx="54">
                  <c:v>92</c:v>
                </c:pt>
                <c:pt idx="55">
                  <c:v>90</c:v>
                </c:pt>
                <c:pt idx="56">
                  <c:v>88</c:v>
                </c:pt>
                <c:pt idx="57">
                  <c:v>86</c:v>
                </c:pt>
                <c:pt idx="58">
                  <c:v>84</c:v>
                </c:pt>
                <c:pt idx="59">
                  <c:v>82</c:v>
                </c:pt>
                <c:pt idx="60">
                  <c:v>80</c:v>
                </c:pt>
                <c:pt idx="61">
                  <c:v>78</c:v>
                </c:pt>
                <c:pt idx="62">
                  <c:v>76</c:v>
                </c:pt>
                <c:pt idx="63">
                  <c:v>74</c:v>
                </c:pt>
                <c:pt idx="64">
                  <c:v>72</c:v>
                </c:pt>
                <c:pt idx="65">
                  <c:v>70</c:v>
                </c:pt>
                <c:pt idx="66">
                  <c:v>68</c:v>
                </c:pt>
                <c:pt idx="67">
                  <c:v>66</c:v>
                </c:pt>
                <c:pt idx="68">
                  <c:v>64</c:v>
                </c:pt>
                <c:pt idx="69">
                  <c:v>62</c:v>
                </c:pt>
                <c:pt idx="70">
                  <c:v>60</c:v>
                </c:pt>
                <c:pt idx="71">
                  <c:v>58</c:v>
                </c:pt>
                <c:pt idx="72">
                  <c:v>56</c:v>
                </c:pt>
                <c:pt idx="73">
                  <c:v>54</c:v>
                </c:pt>
                <c:pt idx="74">
                  <c:v>52</c:v>
                </c:pt>
                <c:pt idx="75">
                  <c:v>50</c:v>
                </c:pt>
                <c:pt idx="76">
                  <c:v>48</c:v>
                </c:pt>
                <c:pt idx="77">
                  <c:v>46</c:v>
                </c:pt>
                <c:pt idx="78">
                  <c:v>44</c:v>
                </c:pt>
                <c:pt idx="79">
                  <c:v>42</c:v>
                </c:pt>
                <c:pt idx="80">
                  <c:v>40</c:v>
                </c:pt>
                <c:pt idx="81">
                  <c:v>38</c:v>
                </c:pt>
                <c:pt idx="82">
                  <c:v>36</c:v>
                </c:pt>
                <c:pt idx="83">
                  <c:v>34</c:v>
                </c:pt>
                <c:pt idx="84">
                  <c:v>32</c:v>
                </c:pt>
                <c:pt idx="85">
                  <c:v>30</c:v>
                </c:pt>
                <c:pt idx="86">
                  <c:v>28</c:v>
                </c:pt>
                <c:pt idx="87">
                  <c:v>26</c:v>
                </c:pt>
                <c:pt idx="88">
                  <c:v>24</c:v>
                </c:pt>
                <c:pt idx="89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453-4B80-8E58-25DBE643F86B}"/>
            </c:ext>
          </c:extLst>
        </c:ser>
        <c:ser>
          <c:idx val="0"/>
          <c:order val="4"/>
          <c:tx>
            <c:v>Meter</c:v>
          </c:tx>
          <c:spPr>
            <a:ln w="19050">
              <a:noFill/>
            </a:ln>
          </c:spPr>
          <c:marker>
            <c:spPr>
              <a:ln w="53975"/>
            </c:spPr>
          </c:marker>
          <c:xVal>
            <c:numRef>
              <c:f>'AG CASE '!$D$29</c:f>
              <c:numCache>
                <c:formatCode>General</c:formatCode>
                <c:ptCount val="1"/>
                <c:pt idx="0">
                  <c:v>38</c:v>
                </c:pt>
              </c:numCache>
            </c:numRef>
          </c:xVal>
          <c:yVal>
            <c:numRef>
              <c:f>'AG CASE '!$D$30</c:f>
              <c:numCache>
                <c:formatCode>General</c:formatCode>
                <c:ptCount val="1"/>
                <c:pt idx="0">
                  <c:v>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88-4BDC-8BD2-8F64121EF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169855"/>
        <c:axId val="117173215"/>
      </c:scatterChart>
      <c:valAx>
        <c:axId val="117169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Eixo X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173215"/>
        <c:crosses val="autoZero"/>
        <c:crossBetween val="midCat"/>
      </c:valAx>
      <c:valAx>
        <c:axId val="117173215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Eixo Y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1698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603249</xdr:colOff>
      <xdr:row>18</xdr:row>
      <xdr:rowOff>0</xdr:rowOff>
    </xdr:from>
    <xdr:to>
      <xdr:col>25</xdr:col>
      <xdr:colOff>142874</xdr:colOff>
      <xdr:row>55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23FDF4D-BF2E-4140-BC90-D7BCB788D7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603249</xdr:colOff>
      <xdr:row>18</xdr:row>
      <xdr:rowOff>0</xdr:rowOff>
    </xdr:from>
    <xdr:to>
      <xdr:col>25</xdr:col>
      <xdr:colOff>142874</xdr:colOff>
      <xdr:row>55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21CCC0D-969F-49ED-B951-1FC0857AAA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603249</xdr:colOff>
      <xdr:row>18</xdr:row>
      <xdr:rowOff>0</xdr:rowOff>
    </xdr:from>
    <xdr:to>
      <xdr:col>25</xdr:col>
      <xdr:colOff>142874</xdr:colOff>
      <xdr:row>55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8237515-8638-4AD8-89BF-5505D3B199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59531</xdr:colOff>
      <xdr:row>17</xdr:row>
      <xdr:rowOff>95250</xdr:rowOff>
    </xdr:from>
    <xdr:to>
      <xdr:col>11</xdr:col>
      <xdr:colOff>11906</xdr:colOff>
      <xdr:row>20</xdr:row>
      <xdr:rowOff>23813</xdr:rowOff>
    </xdr:to>
    <xdr:sp macro="[0]!Solver1" textlink="">
      <xdr:nvSpPr>
        <xdr:cNvPr id="3" name="Retângulo 2">
          <a:extLst>
            <a:ext uri="{FF2B5EF4-FFF2-40B4-BE49-F238E27FC236}">
              <a16:creationId xmlns:a16="http://schemas.microsoft.com/office/drawing/2014/main" id="{C58E98C2-557D-468F-617F-E278C3996757}"/>
            </a:ext>
          </a:extLst>
        </xdr:cNvPr>
        <xdr:cNvSpPr/>
      </xdr:nvSpPr>
      <xdr:spPr>
        <a:xfrm>
          <a:off x="7953375" y="3440906"/>
          <a:ext cx="2143125" cy="50006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/>
            <a:t>APPLY</a:t>
          </a:r>
          <a:r>
            <a:rPr lang="pt-BR" sz="2400" baseline="0"/>
            <a:t> AG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1E295-A4F5-41F3-B17F-861BD2D54148}">
  <sheetPr codeName="Planilha1"/>
  <dimension ref="A1:O122"/>
  <sheetViews>
    <sheetView topLeftCell="A25" zoomScale="60" zoomScaleNormal="60" workbookViewId="0">
      <selection sqref="A1:XFD1048576"/>
    </sheetView>
  </sheetViews>
  <sheetFormatPr defaultRowHeight="15" x14ac:dyDescent="0.25"/>
  <cols>
    <col min="2" max="2" width="30.85546875" customWidth="1"/>
    <col min="3" max="3" width="14" customWidth="1"/>
    <col min="5" max="5" width="19.7109375" customWidth="1"/>
    <col min="6" max="6" width="13" bestFit="1" customWidth="1"/>
    <col min="8" max="8" width="13.5703125" customWidth="1"/>
    <col min="9" max="9" width="11.28515625" customWidth="1"/>
    <col min="10" max="10" width="12.42578125" customWidth="1"/>
    <col min="13" max="13" width="16.28515625" bestFit="1" customWidth="1"/>
    <col min="14" max="14" width="14.28515625" customWidth="1"/>
  </cols>
  <sheetData>
    <row r="1" spans="2:15" ht="15.75" thickBot="1" x14ac:dyDescent="0.3"/>
    <row r="2" spans="2:15" x14ac:dyDescent="0.25">
      <c r="B2" s="58" t="s">
        <v>0</v>
      </c>
      <c r="C2" s="59"/>
      <c r="D2" s="60"/>
      <c r="F2" s="58" t="s">
        <v>12</v>
      </c>
      <c r="G2" s="59"/>
      <c r="H2" s="59"/>
      <c r="I2" s="59"/>
      <c r="J2" s="60"/>
      <c r="L2" s="49" t="s">
        <v>23</v>
      </c>
      <c r="M2" s="50"/>
      <c r="N2" s="50"/>
      <c r="O2" s="51"/>
    </row>
    <row r="3" spans="2:15" x14ac:dyDescent="0.25">
      <c r="B3" s="11" t="s">
        <v>1</v>
      </c>
      <c r="C3" s="12" t="s">
        <v>8</v>
      </c>
      <c r="D3" s="13"/>
      <c r="F3" s="52" t="s">
        <v>13</v>
      </c>
      <c r="G3" s="53"/>
      <c r="H3" s="53"/>
      <c r="I3" s="12">
        <v>1350</v>
      </c>
      <c r="J3" s="13"/>
      <c r="L3" s="57" t="s">
        <v>24</v>
      </c>
      <c r="M3" s="56"/>
      <c r="N3">
        <v>6</v>
      </c>
      <c r="O3" s="2" t="s">
        <v>26</v>
      </c>
    </row>
    <row r="4" spans="2:15" x14ac:dyDescent="0.25">
      <c r="B4" s="11" t="s">
        <v>2</v>
      </c>
      <c r="C4" s="12">
        <v>550</v>
      </c>
      <c r="D4" s="13" t="s">
        <v>5</v>
      </c>
      <c r="F4" s="52" t="s">
        <v>14</v>
      </c>
      <c r="G4" s="53"/>
      <c r="H4" s="53"/>
      <c r="I4" s="12">
        <f>I3*C4/1000</f>
        <v>742.5</v>
      </c>
      <c r="J4" s="13" t="s">
        <v>18</v>
      </c>
      <c r="L4" s="57" t="s">
        <v>25</v>
      </c>
      <c r="M4" s="56"/>
      <c r="N4">
        <v>3.3999999999999998E-3</v>
      </c>
      <c r="O4" s="2" t="s">
        <v>31</v>
      </c>
    </row>
    <row r="5" spans="2:15" x14ac:dyDescent="0.25">
      <c r="B5" s="11" t="s">
        <v>3</v>
      </c>
      <c r="C5" s="12">
        <v>49</v>
      </c>
      <c r="D5" s="13" t="s">
        <v>6</v>
      </c>
      <c r="F5" s="52" t="s">
        <v>15</v>
      </c>
      <c r="G5" s="53"/>
      <c r="H5" s="53"/>
      <c r="I5" s="12">
        <v>5</v>
      </c>
      <c r="J5" s="13"/>
      <c r="L5" s="1" t="s">
        <v>27</v>
      </c>
      <c r="N5">
        <v>120</v>
      </c>
      <c r="O5" s="2" t="s">
        <v>26</v>
      </c>
    </row>
    <row r="6" spans="2:15" ht="15.75" thickBot="1" x14ac:dyDescent="0.3">
      <c r="B6" s="14" t="s">
        <v>4</v>
      </c>
      <c r="C6" s="15">
        <v>10.55</v>
      </c>
      <c r="D6" s="16" t="s">
        <v>7</v>
      </c>
      <c r="F6" s="52" t="s">
        <v>16</v>
      </c>
      <c r="G6" s="53"/>
      <c r="H6" s="53"/>
      <c r="I6" s="12">
        <f>I5*C10</f>
        <v>600</v>
      </c>
      <c r="J6" s="13" t="s">
        <v>18</v>
      </c>
      <c r="L6" s="57" t="s">
        <v>28</v>
      </c>
      <c r="M6" s="56"/>
      <c r="N6">
        <v>2.1000000000000001E-4</v>
      </c>
      <c r="O6" s="2" t="s">
        <v>31</v>
      </c>
    </row>
    <row r="7" spans="2:15" ht="15.75" thickBot="1" x14ac:dyDescent="0.3">
      <c r="F7" s="52" t="s">
        <v>19</v>
      </c>
      <c r="G7" s="53"/>
      <c r="H7" s="53"/>
      <c r="I7" s="12">
        <v>90</v>
      </c>
      <c r="J7" s="13"/>
      <c r="L7" s="1" t="s">
        <v>29</v>
      </c>
      <c r="N7">
        <v>10</v>
      </c>
      <c r="O7" s="2" t="s">
        <v>26</v>
      </c>
    </row>
    <row r="8" spans="2:15" ht="15.75" thickBot="1" x14ac:dyDescent="0.3">
      <c r="B8" s="58" t="s">
        <v>9</v>
      </c>
      <c r="C8" s="59"/>
      <c r="D8" s="60"/>
      <c r="F8" s="52" t="s">
        <v>20</v>
      </c>
      <c r="G8" s="53"/>
      <c r="H8" s="53"/>
      <c r="I8" s="12">
        <v>15</v>
      </c>
      <c r="J8" s="13"/>
      <c r="L8" s="54" t="s">
        <v>30</v>
      </c>
      <c r="M8" s="55"/>
      <c r="N8" s="4">
        <v>2.3999999999999998E-3</v>
      </c>
      <c r="O8" s="5" t="s">
        <v>31</v>
      </c>
    </row>
    <row r="9" spans="2:15" ht="15.75" thickBot="1" x14ac:dyDescent="0.3">
      <c r="B9" s="11" t="s">
        <v>1</v>
      </c>
      <c r="C9" s="12" t="s">
        <v>17</v>
      </c>
      <c r="D9" s="13"/>
      <c r="F9" s="52" t="s">
        <v>21</v>
      </c>
      <c r="G9" s="53"/>
      <c r="H9" s="53"/>
      <c r="I9" s="12">
        <v>10.55</v>
      </c>
      <c r="J9" s="13" t="s">
        <v>7</v>
      </c>
    </row>
    <row r="10" spans="2:15" x14ac:dyDescent="0.25">
      <c r="B10" s="11" t="s">
        <v>2</v>
      </c>
      <c r="C10" s="12">
        <v>120</v>
      </c>
      <c r="D10" s="13" t="s">
        <v>18</v>
      </c>
      <c r="F10" s="52" t="s">
        <v>22</v>
      </c>
      <c r="G10" s="53"/>
      <c r="H10" s="53"/>
      <c r="I10" s="12">
        <f>C5*I8</f>
        <v>735</v>
      </c>
      <c r="J10" s="13" t="s">
        <v>6</v>
      </c>
      <c r="L10" s="49" t="s">
        <v>36</v>
      </c>
      <c r="M10" s="50"/>
      <c r="N10" s="50"/>
      <c r="O10" s="51"/>
    </row>
    <row r="11" spans="2:15" x14ac:dyDescent="0.25">
      <c r="B11" s="11" t="s">
        <v>10</v>
      </c>
      <c r="C11" s="12">
        <v>173.2</v>
      </c>
      <c r="D11" s="13" t="s">
        <v>7</v>
      </c>
      <c r="F11" s="52" t="s">
        <v>32</v>
      </c>
      <c r="G11" s="53"/>
      <c r="H11" s="53"/>
      <c r="I11" s="12">
        <v>15000</v>
      </c>
      <c r="J11" s="13" t="s">
        <v>6</v>
      </c>
      <c r="L11" s="1"/>
      <c r="M11" t="s">
        <v>66</v>
      </c>
      <c r="N11" t="s">
        <v>74</v>
      </c>
      <c r="O11" s="2" t="s">
        <v>37</v>
      </c>
    </row>
    <row r="12" spans="2:15" ht="15.75" thickBot="1" x14ac:dyDescent="0.3">
      <c r="B12" s="14" t="s">
        <v>11</v>
      </c>
      <c r="C12" s="15">
        <v>400</v>
      </c>
      <c r="D12" s="16" t="s">
        <v>6</v>
      </c>
      <c r="F12" s="52" t="s">
        <v>33</v>
      </c>
      <c r="G12" s="53"/>
      <c r="H12" s="53"/>
      <c r="I12" s="12">
        <v>400</v>
      </c>
      <c r="J12" s="13" t="s">
        <v>6</v>
      </c>
      <c r="L12" s="1" t="s">
        <v>70</v>
      </c>
      <c r="M12" t="s">
        <v>67</v>
      </c>
      <c r="N12" s="20">
        <f>F19</f>
        <v>0.54422865284152788</v>
      </c>
      <c r="O12" s="42">
        <f>F20</f>
        <v>7.3296788261485236E-4</v>
      </c>
    </row>
    <row r="13" spans="2:15" x14ac:dyDescent="0.25">
      <c r="F13" s="1" t="s">
        <v>34</v>
      </c>
      <c r="I13">
        <f>C11*5</f>
        <v>866</v>
      </c>
      <c r="J13" s="13" t="s">
        <v>7</v>
      </c>
      <c r="L13" s="1" t="s">
        <v>71</v>
      </c>
      <c r="M13" t="s">
        <v>68</v>
      </c>
      <c r="N13" s="34">
        <f>F21</f>
        <v>6.0863520832497136</v>
      </c>
      <c r="O13" s="42">
        <f>F22</f>
        <v>8.1971071828278973E-3</v>
      </c>
    </row>
    <row r="14" spans="2:15" ht="15.75" thickBot="1" x14ac:dyDescent="0.3">
      <c r="F14" s="54" t="s">
        <v>35</v>
      </c>
      <c r="G14" s="55"/>
      <c r="H14" s="55"/>
      <c r="I14" s="21">
        <f>I13*I12/I11</f>
        <v>23.093333333333334</v>
      </c>
      <c r="J14" s="16" t="s">
        <v>7</v>
      </c>
      <c r="L14" s="1" t="s">
        <v>72</v>
      </c>
      <c r="M14" t="s">
        <v>69</v>
      </c>
      <c r="N14" s="40">
        <f>F23</f>
        <v>4.7439480410198303E-3</v>
      </c>
      <c r="O14" s="42">
        <f>F24</f>
        <v>6.3891556108011181E-6</v>
      </c>
    </row>
    <row r="15" spans="2:15" ht="15.75" thickBot="1" x14ac:dyDescent="0.3">
      <c r="F15" s="56"/>
      <c r="G15" s="56"/>
      <c r="H15" s="56"/>
      <c r="L15" s="3"/>
      <c r="M15" s="4" t="s">
        <v>73</v>
      </c>
      <c r="N15" s="43">
        <f>N12+N13+N14</f>
        <v>6.6353246841322608</v>
      </c>
      <c r="O15" s="44">
        <f>O12+O13+O14</f>
        <v>8.9364642210535503E-3</v>
      </c>
    </row>
    <row r="17" spans="2:10" ht="15.75" thickBot="1" x14ac:dyDescent="0.3"/>
    <row r="18" spans="2:10" x14ac:dyDescent="0.25">
      <c r="B18" s="49" t="s">
        <v>38</v>
      </c>
      <c r="C18" s="50"/>
      <c r="D18" s="50"/>
      <c r="E18" s="50"/>
      <c r="F18" s="50"/>
      <c r="G18" s="51"/>
    </row>
    <row r="19" spans="2:10" x14ac:dyDescent="0.25">
      <c r="B19" s="1" t="s">
        <v>55</v>
      </c>
      <c r="C19" s="34">
        <f>AVERAGE(I33:I122)</f>
        <v>16.93145519556947</v>
      </c>
      <c r="D19" t="s">
        <v>51</v>
      </c>
      <c r="E19" t="s">
        <v>57</v>
      </c>
      <c r="F19" s="20">
        <f>C21*2*N4*I7*I9^2*0.6/1000</f>
        <v>0.54422865284152788</v>
      </c>
      <c r="G19" s="2" t="s">
        <v>18</v>
      </c>
    </row>
    <row r="20" spans="2:10" x14ac:dyDescent="0.25">
      <c r="B20" s="1" t="s">
        <v>56</v>
      </c>
      <c r="C20" s="34">
        <f>AVERAGE(J33:J122)</f>
        <v>9.7005463211086322</v>
      </c>
      <c r="D20" t="s">
        <v>51</v>
      </c>
      <c r="E20" t="s">
        <v>58</v>
      </c>
      <c r="F20" s="38">
        <f>F19/I4</f>
        <v>7.3296788261485236E-4</v>
      </c>
      <c r="G20" s="2"/>
    </row>
    <row r="21" spans="2:10" x14ac:dyDescent="0.25">
      <c r="B21" s="1" t="s">
        <v>59</v>
      </c>
      <c r="C21" s="34">
        <f>AVERAGE(C19:C20)</f>
        <v>13.316000758339051</v>
      </c>
      <c r="D21" t="s">
        <v>51</v>
      </c>
      <c r="E21" t="s">
        <v>61</v>
      </c>
      <c r="F21" s="34">
        <f>3*N6*C11^2*C22*0.6*I5/1000</f>
        <v>6.0863520832497136</v>
      </c>
      <c r="G21" s="2" t="s">
        <v>18</v>
      </c>
    </row>
    <row r="22" spans="2:10" x14ac:dyDescent="0.25">
      <c r="B22" s="1" t="s">
        <v>60</v>
      </c>
      <c r="C22" s="34">
        <f>AVERAGE(SQRT((C26-C29)^2+(C27-C30)^2),SQRT((D26-C29)^2+(D27-C30)^2),SQRT((E26-C29)^2+(E27-C30)^2),SQRT((F26-C29)^2+(F27-C30)^2),SQRT((G26-C29)^2+(G27-C30)^2))</f>
        <v>107.34936808091179</v>
      </c>
      <c r="E22" t="s">
        <v>62</v>
      </c>
      <c r="F22" s="38">
        <f>F21/I4</f>
        <v>8.1971071828278973E-3</v>
      </c>
      <c r="G22" s="2"/>
    </row>
    <row r="23" spans="2:10" x14ac:dyDescent="0.25">
      <c r="B23" s="1" t="s">
        <v>63</v>
      </c>
      <c r="C23" s="39">
        <f>SQRT((C29-D29)^2+(C30-D30)^2)</f>
        <v>2.0591260281974</v>
      </c>
      <c r="D23" t="s">
        <v>51</v>
      </c>
      <c r="E23" t="s">
        <v>64</v>
      </c>
      <c r="F23" s="40">
        <f>3*N8*I14^2*C23*0.6/1000</f>
        <v>4.7439480410198303E-3</v>
      </c>
      <c r="G23" s="2" t="s">
        <v>18</v>
      </c>
    </row>
    <row r="24" spans="2:10" ht="15.75" thickBot="1" x14ac:dyDescent="0.3">
      <c r="B24" s="3"/>
      <c r="C24" s="4"/>
      <c r="D24" s="4"/>
      <c r="E24" s="4" t="s">
        <v>65</v>
      </c>
      <c r="F24" s="41">
        <f>F23/I4</f>
        <v>6.3891556108011181E-6</v>
      </c>
      <c r="G24" s="5"/>
    </row>
    <row r="25" spans="2:10" x14ac:dyDescent="0.25">
      <c r="B25" s="6" t="s">
        <v>41</v>
      </c>
      <c r="C25" s="7" t="s">
        <v>42</v>
      </c>
      <c r="D25" s="7" t="s">
        <v>43</v>
      </c>
      <c r="E25" s="7" t="s">
        <v>44</v>
      </c>
      <c r="F25" s="7" t="s">
        <v>45</v>
      </c>
      <c r="G25" s="8" t="s">
        <v>46</v>
      </c>
    </row>
    <row r="26" spans="2:10" x14ac:dyDescent="0.25">
      <c r="B26" s="17" t="s">
        <v>40</v>
      </c>
      <c r="C26" s="23">
        <v>23.5</v>
      </c>
      <c r="D26" s="23">
        <v>23.5</v>
      </c>
      <c r="E26" s="23">
        <v>23.5</v>
      </c>
      <c r="F26" s="23">
        <v>23.5</v>
      </c>
      <c r="G26" s="24">
        <v>23.5</v>
      </c>
    </row>
    <row r="27" spans="2:10" ht="15.75" thickBot="1" x14ac:dyDescent="0.3">
      <c r="B27" s="18" t="s">
        <v>39</v>
      </c>
      <c r="C27" s="22">
        <v>38</v>
      </c>
      <c r="D27" s="22">
        <v>78</v>
      </c>
      <c r="E27" s="22">
        <v>110</v>
      </c>
      <c r="F27" s="22">
        <v>148</v>
      </c>
      <c r="G27" s="25">
        <v>180</v>
      </c>
    </row>
    <row r="28" spans="2:10" x14ac:dyDescent="0.25">
      <c r="B28" s="26" t="s">
        <v>41</v>
      </c>
      <c r="C28" s="30" t="s">
        <v>47</v>
      </c>
      <c r="D28" s="31" t="s">
        <v>48</v>
      </c>
    </row>
    <row r="29" spans="2:10" x14ac:dyDescent="0.25">
      <c r="B29" s="1" t="s">
        <v>40</v>
      </c>
      <c r="C29" s="23">
        <v>39</v>
      </c>
      <c r="D29" s="24">
        <v>38</v>
      </c>
    </row>
    <row r="30" spans="2:10" ht="15.75" thickBot="1" x14ac:dyDescent="0.3">
      <c r="B30" s="1" t="s">
        <v>39</v>
      </c>
      <c r="C30" s="23">
        <v>5</v>
      </c>
      <c r="D30" s="24">
        <v>3.2</v>
      </c>
    </row>
    <row r="31" spans="2:10" x14ac:dyDescent="0.25">
      <c r="B31" s="49" t="s">
        <v>49</v>
      </c>
      <c r="C31" s="50"/>
      <c r="D31" s="50" t="s">
        <v>50</v>
      </c>
      <c r="E31" s="51"/>
      <c r="F31" s="49" t="s">
        <v>52</v>
      </c>
      <c r="G31" s="50"/>
      <c r="H31" s="50"/>
      <c r="I31" s="50"/>
      <c r="J31" s="51"/>
    </row>
    <row r="32" spans="2:10" ht="30" x14ac:dyDescent="0.25">
      <c r="B32" s="28" t="s">
        <v>40</v>
      </c>
      <c r="C32" s="23" t="s">
        <v>39</v>
      </c>
      <c r="D32" s="23" t="s">
        <v>40</v>
      </c>
      <c r="E32" s="24" t="s">
        <v>39</v>
      </c>
      <c r="F32" s="28"/>
      <c r="G32" s="23" t="s">
        <v>40</v>
      </c>
      <c r="H32" s="23" t="s">
        <v>39</v>
      </c>
      <c r="I32" s="32" t="s">
        <v>53</v>
      </c>
      <c r="J32" s="33" t="s">
        <v>54</v>
      </c>
    </row>
    <row r="33" spans="1:10" x14ac:dyDescent="0.25">
      <c r="A33">
        <v>1</v>
      </c>
      <c r="B33" s="28">
        <v>10</v>
      </c>
      <c r="C33" s="23">
        <v>200</v>
      </c>
      <c r="D33">
        <v>26</v>
      </c>
      <c r="E33" s="24">
        <v>200</v>
      </c>
      <c r="F33" s="28">
        <v>5</v>
      </c>
      <c r="G33" s="23">
        <v>23.5</v>
      </c>
      <c r="H33" s="23">
        <v>180</v>
      </c>
      <c r="I33" s="34">
        <f>SQRT((B33-G33)^2+(C33-H33)^2)</f>
        <v>24.129857024027309</v>
      </c>
      <c r="J33" s="35">
        <f>SQRT((D33-G33)^2+(E33-H33)^2)</f>
        <v>20.155644370746373</v>
      </c>
    </row>
    <row r="34" spans="1:10" x14ac:dyDescent="0.25">
      <c r="A34">
        <v>2</v>
      </c>
      <c r="B34" s="28">
        <v>10</v>
      </c>
      <c r="C34" s="23">
        <v>198</v>
      </c>
      <c r="D34">
        <v>26</v>
      </c>
      <c r="E34" s="24">
        <v>198</v>
      </c>
      <c r="F34" s="28">
        <v>5</v>
      </c>
      <c r="G34" s="23">
        <v>23.5</v>
      </c>
      <c r="H34" s="23">
        <v>180</v>
      </c>
      <c r="I34" s="34">
        <f t="shared" ref="I34:I97" si="0">SQRT((B34-G34)^2+(C34-H34)^2)</f>
        <v>22.5</v>
      </c>
      <c r="J34" s="35">
        <f t="shared" ref="J34:J97" si="1">SQRT((D34-G34)^2+(E34-H34)^2)</f>
        <v>18.172781845386247</v>
      </c>
    </row>
    <row r="35" spans="1:10" x14ac:dyDescent="0.25">
      <c r="A35">
        <v>3</v>
      </c>
      <c r="B35" s="28">
        <v>10</v>
      </c>
      <c r="C35" s="23">
        <v>196</v>
      </c>
      <c r="D35">
        <v>26</v>
      </c>
      <c r="E35" s="24">
        <v>196</v>
      </c>
      <c r="F35" s="28">
        <v>5</v>
      </c>
      <c r="G35" s="23">
        <v>23.5</v>
      </c>
      <c r="H35" s="23">
        <v>180</v>
      </c>
      <c r="I35" s="34">
        <f t="shared" si="0"/>
        <v>20.934421415458321</v>
      </c>
      <c r="J35" s="35">
        <f t="shared" si="1"/>
        <v>16.194134740701646</v>
      </c>
    </row>
    <row r="36" spans="1:10" x14ac:dyDescent="0.25">
      <c r="A36">
        <v>4</v>
      </c>
      <c r="B36" s="28">
        <v>10</v>
      </c>
      <c r="C36" s="23">
        <v>194</v>
      </c>
      <c r="D36">
        <v>26</v>
      </c>
      <c r="E36" s="24">
        <v>194</v>
      </c>
      <c r="F36" s="28">
        <v>5</v>
      </c>
      <c r="G36" s="23">
        <v>23.5</v>
      </c>
      <c r="H36" s="23">
        <v>180</v>
      </c>
      <c r="I36" s="34">
        <f t="shared" si="0"/>
        <v>19.448650338776723</v>
      </c>
      <c r="J36" s="35">
        <f t="shared" si="1"/>
        <v>14.221462653327892</v>
      </c>
    </row>
    <row r="37" spans="1:10" x14ac:dyDescent="0.25">
      <c r="A37">
        <v>5</v>
      </c>
      <c r="B37" s="28">
        <v>10</v>
      </c>
      <c r="C37" s="23">
        <v>192</v>
      </c>
      <c r="D37">
        <v>26</v>
      </c>
      <c r="E37" s="24">
        <v>192</v>
      </c>
      <c r="F37" s="28">
        <v>5</v>
      </c>
      <c r="G37" s="23">
        <v>23.5</v>
      </c>
      <c r="H37" s="23">
        <v>180</v>
      </c>
      <c r="I37" s="34">
        <f t="shared" si="0"/>
        <v>18.062391868188442</v>
      </c>
      <c r="J37" s="35">
        <f t="shared" si="1"/>
        <v>12.257650672131263</v>
      </c>
    </row>
    <row r="38" spans="1:10" x14ac:dyDescent="0.25">
      <c r="A38">
        <v>6</v>
      </c>
      <c r="B38" s="28">
        <v>10</v>
      </c>
      <c r="C38" s="23">
        <v>190</v>
      </c>
      <c r="D38">
        <v>26</v>
      </c>
      <c r="E38" s="24">
        <v>190</v>
      </c>
      <c r="F38" s="28">
        <v>5</v>
      </c>
      <c r="G38" s="23">
        <v>23.5</v>
      </c>
      <c r="H38" s="23">
        <v>180</v>
      </c>
      <c r="I38" s="34">
        <f t="shared" si="0"/>
        <v>16.800297616411441</v>
      </c>
      <c r="J38" s="35">
        <f t="shared" si="1"/>
        <v>10.307764064044152</v>
      </c>
    </row>
    <row r="39" spans="1:10" x14ac:dyDescent="0.25">
      <c r="A39">
        <v>7</v>
      </c>
      <c r="B39" s="28">
        <v>10</v>
      </c>
      <c r="C39" s="23">
        <v>188</v>
      </c>
      <c r="D39">
        <v>26</v>
      </c>
      <c r="E39" s="24">
        <v>188</v>
      </c>
      <c r="F39" s="28">
        <v>5</v>
      </c>
      <c r="G39" s="23">
        <v>23.5</v>
      </c>
      <c r="H39" s="23">
        <v>180</v>
      </c>
      <c r="I39" s="34">
        <f t="shared" si="0"/>
        <v>15.692354826475215</v>
      </c>
      <c r="J39" s="35">
        <f t="shared" si="1"/>
        <v>8.3815273071201055</v>
      </c>
    </row>
    <row r="40" spans="1:10" x14ac:dyDescent="0.25">
      <c r="A40">
        <v>8</v>
      </c>
      <c r="B40" s="28">
        <v>10</v>
      </c>
      <c r="C40" s="23">
        <v>186</v>
      </c>
      <c r="D40">
        <v>26</v>
      </c>
      <c r="E40" s="24">
        <v>186</v>
      </c>
      <c r="F40" s="28">
        <v>5</v>
      </c>
      <c r="G40" s="23">
        <v>23.5</v>
      </c>
      <c r="H40" s="23">
        <v>180</v>
      </c>
      <c r="I40" s="34">
        <f t="shared" si="0"/>
        <v>14.773286702694158</v>
      </c>
      <c r="J40" s="35">
        <f t="shared" si="1"/>
        <v>6.5</v>
      </c>
    </row>
    <row r="41" spans="1:10" x14ac:dyDescent="0.25">
      <c r="A41">
        <v>9</v>
      </c>
      <c r="B41" s="28">
        <v>10</v>
      </c>
      <c r="C41" s="23">
        <v>184</v>
      </c>
      <c r="D41">
        <v>26</v>
      </c>
      <c r="E41" s="24">
        <v>184</v>
      </c>
      <c r="F41" s="28">
        <v>5</v>
      </c>
      <c r="G41" s="23">
        <v>23.5</v>
      </c>
      <c r="H41" s="23">
        <v>180</v>
      </c>
      <c r="I41" s="34">
        <f t="shared" si="0"/>
        <v>14.080127840328723</v>
      </c>
      <c r="J41" s="35">
        <f t="shared" si="1"/>
        <v>4.7169905660283016</v>
      </c>
    </row>
    <row r="42" spans="1:10" x14ac:dyDescent="0.25">
      <c r="A42">
        <v>10</v>
      </c>
      <c r="B42" s="28">
        <v>10</v>
      </c>
      <c r="C42" s="23">
        <v>182</v>
      </c>
      <c r="D42">
        <v>26</v>
      </c>
      <c r="E42" s="24">
        <v>182</v>
      </c>
      <c r="F42" s="28">
        <v>5</v>
      </c>
      <c r="G42" s="23">
        <v>23.5</v>
      </c>
      <c r="H42" s="23">
        <v>180</v>
      </c>
      <c r="I42" s="34">
        <f t="shared" si="0"/>
        <v>13.647344063956181</v>
      </c>
      <c r="J42" s="35">
        <f t="shared" si="1"/>
        <v>3.2015621187164243</v>
      </c>
    </row>
    <row r="43" spans="1:10" x14ac:dyDescent="0.25">
      <c r="A43">
        <v>11</v>
      </c>
      <c r="B43" s="28">
        <v>10</v>
      </c>
      <c r="C43" s="23">
        <v>180</v>
      </c>
      <c r="D43">
        <v>26</v>
      </c>
      <c r="E43" s="24">
        <v>180</v>
      </c>
      <c r="F43" s="28">
        <v>5</v>
      </c>
      <c r="G43" s="23">
        <v>23.5</v>
      </c>
      <c r="H43" s="23">
        <v>180</v>
      </c>
      <c r="I43" s="34">
        <f t="shared" si="0"/>
        <v>13.5</v>
      </c>
      <c r="J43" s="35">
        <f t="shared" si="1"/>
        <v>2.5</v>
      </c>
    </row>
    <row r="44" spans="1:10" x14ac:dyDescent="0.25">
      <c r="A44">
        <v>12</v>
      </c>
      <c r="B44" s="28">
        <v>10</v>
      </c>
      <c r="C44" s="23">
        <v>178</v>
      </c>
      <c r="D44">
        <v>26</v>
      </c>
      <c r="E44" s="24">
        <v>178</v>
      </c>
      <c r="F44" s="28">
        <v>5</v>
      </c>
      <c r="G44" s="23">
        <v>23.5</v>
      </c>
      <c r="H44" s="23">
        <v>180</v>
      </c>
      <c r="I44" s="34">
        <f t="shared" si="0"/>
        <v>13.647344063956181</v>
      </c>
      <c r="J44" s="35">
        <f t="shared" si="1"/>
        <v>3.2015621187164243</v>
      </c>
    </row>
    <row r="45" spans="1:10" x14ac:dyDescent="0.25">
      <c r="A45">
        <v>13</v>
      </c>
      <c r="B45" s="28">
        <v>10</v>
      </c>
      <c r="C45" s="23">
        <v>176</v>
      </c>
      <c r="D45">
        <v>26</v>
      </c>
      <c r="E45" s="24">
        <v>176</v>
      </c>
      <c r="F45" s="28">
        <v>5</v>
      </c>
      <c r="G45" s="23">
        <v>23.5</v>
      </c>
      <c r="H45" s="23">
        <v>180</v>
      </c>
      <c r="I45" s="34">
        <f t="shared" si="0"/>
        <v>14.080127840328723</v>
      </c>
      <c r="J45" s="35">
        <f t="shared" si="1"/>
        <v>4.7169905660283016</v>
      </c>
    </row>
    <row r="46" spans="1:10" x14ac:dyDescent="0.25">
      <c r="A46">
        <v>14</v>
      </c>
      <c r="B46" s="28">
        <v>10</v>
      </c>
      <c r="C46" s="23">
        <v>174</v>
      </c>
      <c r="D46">
        <v>26</v>
      </c>
      <c r="E46" s="24">
        <v>174</v>
      </c>
      <c r="F46" s="28">
        <v>5</v>
      </c>
      <c r="G46" s="23">
        <v>23.5</v>
      </c>
      <c r="H46" s="23">
        <v>180</v>
      </c>
      <c r="I46" s="34">
        <f t="shared" si="0"/>
        <v>14.773286702694158</v>
      </c>
      <c r="J46" s="35">
        <f t="shared" si="1"/>
        <v>6.5</v>
      </c>
    </row>
    <row r="47" spans="1:10" x14ac:dyDescent="0.25">
      <c r="A47">
        <v>15</v>
      </c>
      <c r="B47" s="28">
        <v>10</v>
      </c>
      <c r="C47" s="23">
        <v>172</v>
      </c>
      <c r="D47">
        <v>26</v>
      </c>
      <c r="E47" s="24">
        <v>172</v>
      </c>
      <c r="F47" s="28">
        <v>5</v>
      </c>
      <c r="G47" s="23">
        <v>23.5</v>
      </c>
      <c r="H47" s="23">
        <v>180</v>
      </c>
      <c r="I47" s="34">
        <f t="shared" si="0"/>
        <v>15.692354826475215</v>
      </c>
      <c r="J47" s="35">
        <f t="shared" si="1"/>
        <v>8.3815273071201055</v>
      </c>
    </row>
    <row r="48" spans="1:10" x14ac:dyDescent="0.25">
      <c r="A48">
        <v>16</v>
      </c>
      <c r="B48" s="28">
        <v>10</v>
      </c>
      <c r="C48" s="23">
        <v>170</v>
      </c>
      <c r="D48">
        <v>26</v>
      </c>
      <c r="E48" s="24">
        <v>170</v>
      </c>
      <c r="F48" s="28">
        <v>5</v>
      </c>
      <c r="G48" s="23">
        <v>23.5</v>
      </c>
      <c r="H48" s="23">
        <v>180</v>
      </c>
      <c r="I48" s="34">
        <f t="shared" si="0"/>
        <v>16.800297616411441</v>
      </c>
      <c r="J48" s="35">
        <f t="shared" si="1"/>
        <v>10.307764064044152</v>
      </c>
    </row>
    <row r="49" spans="1:10" x14ac:dyDescent="0.25">
      <c r="A49">
        <v>17</v>
      </c>
      <c r="B49" s="28">
        <v>10</v>
      </c>
      <c r="C49" s="23">
        <v>168</v>
      </c>
      <c r="D49">
        <v>26</v>
      </c>
      <c r="E49" s="24">
        <v>168</v>
      </c>
      <c r="F49" s="28">
        <v>5</v>
      </c>
      <c r="G49" s="23">
        <v>23.5</v>
      </c>
      <c r="H49" s="23">
        <v>180</v>
      </c>
      <c r="I49" s="34">
        <f t="shared" si="0"/>
        <v>18.062391868188442</v>
      </c>
      <c r="J49" s="35">
        <f t="shared" si="1"/>
        <v>12.257650672131263</v>
      </c>
    </row>
    <row r="50" spans="1:10" x14ac:dyDescent="0.25">
      <c r="A50">
        <v>18</v>
      </c>
      <c r="B50" s="28">
        <v>10</v>
      </c>
      <c r="C50" s="23">
        <v>166</v>
      </c>
      <c r="D50">
        <v>26</v>
      </c>
      <c r="E50" s="24">
        <v>166</v>
      </c>
      <c r="F50" s="28">
        <v>4</v>
      </c>
      <c r="G50" s="23">
        <v>23.5</v>
      </c>
      <c r="H50" s="27">
        <v>148</v>
      </c>
      <c r="I50" s="34">
        <f t="shared" si="0"/>
        <v>22.5</v>
      </c>
      <c r="J50" s="35">
        <f t="shared" si="1"/>
        <v>18.172781845386247</v>
      </c>
    </row>
    <row r="51" spans="1:10" x14ac:dyDescent="0.25">
      <c r="A51">
        <v>19</v>
      </c>
      <c r="B51" s="28">
        <v>10</v>
      </c>
      <c r="C51" s="23">
        <v>164</v>
      </c>
      <c r="D51">
        <v>26</v>
      </c>
      <c r="E51" s="24">
        <v>164</v>
      </c>
      <c r="F51" s="28">
        <v>4</v>
      </c>
      <c r="G51" s="23">
        <v>23.5</v>
      </c>
      <c r="H51" s="27">
        <v>148</v>
      </c>
      <c r="I51" s="34">
        <f t="shared" si="0"/>
        <v>20.934421415458321</v>
      </c>
      <c r="J51" s="35">
        <f t="shared" si="1"/>
        <v>16.194134740701646</v>
      </c>
    </row>
    <row r="52" spans="1:10" x14ac:dyDescent="0.25">
      <c r="A52">
        <v>20</v>
      </c>
      <c r="B52" s="28">
        <v>10</v>
      </c>
      <c r="C52" s="23">
        <v>162</v>
      </c>
      <c r="D52">
        <v>26</v>
      </c>
      <c r="E52" s="24">
        <v>162</v>
      </c>
      <c r="F52" s="28">
        <v>4</v>
      </c>
      <c r="G52" s="23">
        <v>23.5</v>
      </c>
      <c r="H52" s="27">
        <v>148</v>
      </c>
      <c r="I52" s="34">
        <f t="shared" si="0"/>
        <v>19.448650338776723</v>
      </c>
      <c r="J52" s="35">
        <f t="shared" si="1"/>
        <v>14.221462653327892</v>
      </c>
    </row>
    <row r="53" spans="1:10" x14ac:dyDescent="0.25">
      <c r="A53">
        <v>21</v>
      </c>
      <c r="B53" s="28">
        <v>10</v>
      </c>
      <c r="C53" s="23">
        <v>160</v>
      </c>
      <c r="D53">
        <v>26</v>
      </c>
      <c r="E53" s="24">
        <v>160</v>
      </c>
      <c r="F53" s="28">
        <v>4</v>
      </c>
      <c r="G53" s="23">
        <v>23.5</v>
      </c>
      <c r="H53" s="27">
        <v>148</v>
      </c>
      <c r="I53" s="34">
        <f t="shared" si="0"/>
        <v>18.062391868188442</v>
      </c>
      <c r="J53" s="35">
        <f t="shared" si="1"/>
        <v>12.257650672131263</v>
      </c>
    </row>
    <row r="54" spans="1:10" x14ac:dyDescent="0.25">
      <c r="A54">
        <v>22</v>
      </c>
      <c r="B54" s="28">
        <v>10</v>
      </c>
      <c r="C54" s="23">
        <v>158</v>
      </c>
      <c r="D54">
        <v>26</v>
      </c>
      <c r="E54" s="24">
        <v>158</v>
      </c>
      <c r="F54" s="28">
        <v>4</v>
      </c>
      <c r="G54" s="23">
        <v>23.5</v>
      </c>
      <c r="H54" s="27">
        <v>148</v>
      </c>
      <c r="I54" s="34">
        <f t="shared" si="0"/>
        <v>16.800297616411441</v>
      </c>
      <c r="J54" s="35">
        <f t="shared" si="1"/>
        <v>10.307764064044152</v>
      </c>
    </row>
    <row r="55" spans="1:10" x14ac:dyDescent="0.25">
      <c r="A55">
        <v>23</v>
      </c>
      <c r="B55" s="28">
        <v>10</v>
      </c>
      <c r="C55" s="23">
        <v>156</v>
      </c>
      <c r="D55">
        <v>26</v>
      </c>
      <c r="E55" s="24">
        <v>156</v>
      </c>
      <c r="F55" s="28">
        <v>4</v>
      </c>
      <c r="G55" s="23">
        <v>23.5</v>
      </c>
      <c r="H55" s="27">
        <v>148</v>
      </c>
      <c r="I55" s="34">
        <f t="shared" si="0"/>
        <v>15.692354826475215</v>
      </c>
      <c r="J55" s="35">
        <f t="shared" si="1"/>
        <v>8.3815273071201055</v>
      </c>
    </row>
    <row r="56" spans="1:10" x14ac:dyDescent="0.25">
      <c r="A56">
        <v>24</v>
      </c>
      <c r="B56" s="28">
        <v>10</v>
      </c>
      <c r="C56" s="23">
        <v>154</v>
      </c>
      <c r="D56">
        <v>26</v>
      </c>
      <c r="E56" s="24">
        <v>154</v>
      </c>
      <c r="F56" s="28">
        <v>4</v>
      </c>
      <c r="G56" s="23">
        <v>23.5</v>
      </c>
      <c r="H56" s="27">
        <v>148</v>
      </c>
      <c r="I56" s="34">
        <f t="shared" si="0"/>
        <v>14.773286702694158</v>
      </c>
      <c r="J56" s="35">
        <f t="shared" si="1"/>
        <v>6.5</v>
      </c>
    </row>
    <row r="57" spans="1:10" x14ac:dyDescent="0.25">
      <c r="A57">
        <v>25</v>
      </c>
      <c r="B57" s="28">
        <v>10</v>
      </c>
      <c r="C57" s="23">
        <v>152</v>
      </c>
      <c r="D57">
        <v>26</v>
      </c>
      <c r="E57" s="24">
        <v>152</v>
      </c>
      <c r="F57" s="28">
        <v>4</v>
      </c>
      <c r="G57" s="23">
        <v>23.5</v>
      </c>
      <c r="H57" s="27">
        <v>148</v>
      </c>
      <c r="I57" s="34">
        <f t="shared" si="0"/>
        <v>14.080127840328723</v>
      </c>
      <c r="J57" s="35">
        <f t="shared" si="1"/>
        <v>4.7169905660283016</v>
      </c>
    </row>
    <row r="58" spans="1:10" x14ac:dyDescent="0.25">
      <c r="A58">
        <v>26</v>
      </c>
      <c r="B58" s="28">
        <v>10</v>
      </c>
      <c r="C58" s="23">
        <v>150</v>
      </c>
      <c r="D58">
        <v>26</v>
      </c>
      <c r="E58" s="24">
        <v>150</v>
      </c>
      <c r="F58" s="28">
        <v>4</v>
      </c>
      <c r="G58" s="23">
        <v>23.5</v>
      </c>
      <c r="H58" s="27">
        <v>148</v>
      </c>
      <c r="I58" s="34">
        <f t="shared" si="0"/>
        <v>13.647344063956181</v>
      </c>
      <c r="J58" s="35">
        <f t="shared" si="1"/>
        <v>3.2015621187164243</v>
      </c>
    </row>
    <row r="59" spans="1:10" x14ac:dyDescent="0.25">
      <c r="A59">
        <v>27</v>
      </c>
      <c r="B59" s="28">
        <v>10</v>
      </c>
      <c r="C59" s="23">
        <v>148</v>
      </c>
      <c r="D59">
        <v>26</v>
      </c>
      <c r="E59" s="24">
        <v>148</v>
      </c>
      <c r="F59" s="28">
        <v>4</v>
      </c>
      <c r="G59" s="23">
        <v>23.5</v>
      </c>
      <c r="H59" s="27">
        <v>148</v>
      </c>
      <c r="I59" s="34">
        <f t="shared" si="0"/>
        <v>13.5</v>
      </c>
      <c r="J59" s="35">
        <f t="shared" si="1"/>
        <v>2.5</v>
      </c>
    </row>
    <row r="60" spans="1:10" x14ac:dyDescent="0.25">
      <c r="A60">
        <v>28</v>
      </c>
      <c r="B60" s="28">
        <v>10</v>
      </c>
      <c r="C60" s="23">
        <v>146</v>
      </c>
      <c r="D60">
        <v>26</v>
      </c>
      <c r="E60" s="24">
        <v>146</v>
      </c>
      <c r="F60" s="28">
        <v>4</v>
      </c>
      <c r="G60" s="23">
        <v>23.5</v>
      </c>
      <c r="H60" s="27">
        <v>148</v>
      </c>
      <c r="I60" s="34">
        <f t="shared" si="0"/>
        <v>13.647344063956181</v>
      </c>
      <c r="J60" s="35">
        <f t="shared" si="1"/>
        <v>3.2015621187164243</v>
      </c>
    </row>
    <row r="61" spans="1:10" x14ac:dyDescent="0.25">
      <c r="A61">
        <v>29</v>
      </c>
      <c r="B61" s="28">
        <v>10</v>
      </c>
      <c r="C61" s="23">
        <v>144</v>
      </c>
      <c r="D61">
        <v>26</v>
      </c>
      <c r="E61" s="24">
        <v>144</v>
      </c>
      <c r="F61" s="28">
        <v>4</v>
      </c>
      <c r="G61" s="23">
        <v>23.5</v>
      </c>
      <c r="H61" s="27">
        <v>148</v>
      </c>
      <c r="I61" s="34">
        <f t="shared" si="0"/>
        <v>14.080127840328723</v>
      </c>
      <c r="J61" s="35">
        <f t="shared" si="1"/>
        <v>4.7169905660283016</v>
      </c>
    </row>
    <row r="62" spans="1:10" x14ac:dyDescent="0.25">
      <c r="A62">
        <v>30</v>
      </c>
      <c r="B62" s="28">
        <v>10</v>
      </c>
      <c r="C62" s="23">
        <v>142</v>
      </c>
      <c r="D62">
        <v>26</v>
      </c>
      <c r="E62" s="24">
        <v>142</v>
      </c>
      <c r="F62" s="28">
        <v>4</v>
      </c>
      <c r="G62" s="23">
        <v>23.5</v>
      </c>
      <c r="H62" s="27">
        <v>148</v>
      </c>
      <c r="I62" s="34">
        <f t="shared" si="0"/>
        <v>14.773286702694158</v>
      </c>
      <c r="J62" s="35">
        <f t="shared" si="1"/>
        <v>6.5</v>
      </c>
    </row>
    <row r="63" spans="1:10" x14ac:dyDescent="0.25">
      <c r="A63">
        <v>31</v>
      </c>
      <c r="B63" s="28">
        <v>10</v>
      </c>
      <c r="C63" s="23">
        <v>140</v>
      </c>
      <c r="D63">
        <v>26</v>
      </c>
      <c r="E63" s="24">
        <v>140</v>
      </c>
      <c r="F63" s="28">
        <v>4</v>
      </c>
      <c r="G63" s="23">
        <v>23.5</v>
      </c>
      <c r="H63" s="27">
        <v>148</v>
      </c>
      <c r="I63" s="34">
        <f t="shared" si="0"/>
        <v>15.692354826475215</v>
      </c>
      <c r="J63" s="35">
        <f t="shared" si="1"/>
        <v>8.3815273071201055</v>
      </c>
    </row>
    <row r="64" spans="1:10" x14ac:dyDescent="0.25">
      <c r="A64">
        <v>32</v>
      </c>
      <c r="B64" s="28">
        <v>10</v>
      </c>
      <c r="C64" s="23">
        <v>138</v>
      </c>
      <c r="D64">
        <v>26</v>
      </c>
      <c r="E64" s="24">
        <v>138</v>
      </c>
      <c r="F64" s="28">
        <v>4</v>
      </c>
      <c r="G64" s="23">
        <v>23.5</v>
      </c>
      <c r="H64" s="27">
        <v>148</v>
      </c>
      <c r="I64" s="34">
        <f t="shared" si="0"/>
        <v>16.800297616411441</v>
      </c>
      <c r="J64" s="35">
        <f t="shared" si="1"/>
        <v>10.307764064044152</v>
      </c>
    </row>
    <row r="65" spans="1:10" x14ac:dyDescent="0.25">
      <c r="A65">
        <v>33</v>
      </c>
      <c r="B65" s="28">
        <v>10</v>
      </c>
      <c r="C65" s="23">
        <v>136</v>
      </c>
      <c r="D65">
        <v>26</v>
      </c>
      <c r="E65" s="24">
        <v>136</v>
      </c>
      <c r="F65" s="28">
        <v>4</v>
      </c>
      <c r="G65" s="23">
        <v>23.5</v>
      </c>
      <c r="H65" s="27">
        <v>148</v>
      </c>
      <c r="I65" s="34">
        <f t="shared" si="0"/>
        <v>18.062391868188442</v>
      </c>
      <c r="J65" s="35">
        <f t="shared" si="1"/>
        <v>12.257650672131263</v>
      </c>
    </row>
    <row r="66" spans="1:10" x14ac:dyDescent="0.25">
      <c r="A66">
        <v>34</v>
      </c>
      <c r="B66" s="28">
        <v>10</v>
      </c>
      <c r="C66" s="23">
        <v>134</v>
      </c>
      <c r="D66">
        <v>26</v>
      </c>
      <c r="E66" s="24">
        <v>134</v>
      </c>
      <c r="F66" s="28">
        <v>4</v>
      </c>
      <c r="G66" s="23">
        <v>23.5</v>
      </c>
      <c r="H66" s="27">
        <v>148</v>
      </c>
      <c r="I66" s="34">
        <f t="shared" si="0"/>
        <v>19.448650338776723</v>
      </c>
      <c r="J66" s="35">
        <f t="shared" si="1"/>
        <v>14.221462653327892</v>
      </c>
    </row>
    <row r="67" spans="1:10" x14ac:dyDescent="0.25">
      <c r="A67">
        <v>35</v>
      </c>
      <c r="B67" s="28">
        <v>10</v>
      </c>
      <c r="C67" s="23">
        <v>132</v>
      </c>
      <c r="D67">
        <v>26</v>
      </c>
      <c r="E67" s="24">
        <v>132</v>
      </c>
      <c r="F67" s="28">
        <v>4</v>
      </c>
      <c r="G67" s="23">
        <v>23.5</v>
      </c>
      <c r="H67" s="27">
        <v>148</v>
      </c>
      <c r="I67" s="34">
        <f t="shared" si="0"/>
        <v>20.934421415458321</v>
      </c>
      <c r="J67" s="35">
        <f t="shared" si="1"/>
        <v>16.194134740701646</v>
      </c>
    </row>
    <row r="68" spans="1:10" x14ac:dyDescent="0.25">
      <c r="A68">
        <v>36</v>
      </c>
      <c r="B68" s="28">
        <v>10</v>
      </c>
      <c r="C68" s="23">
        <v>130</v>
      </c>
      <c r="D68">
        <v>26</v>
      </c>
      <c r="E68" s="24">
        <v>130</v>
      </c>
      <c r="F68" s="28">
        <v>4</v>
      </c>
      <c r="G68" s="23">
        <v>23.5</v>
      </c>
      <c r="H68" s="27">
        <v>148</v>
      </c>
      <c r="I68" s="34">
        <f t="shared" si="0"/>
        <v>22.5</v>
      </c>
      <c r="J68" s="35">
        <f t="shared" si="1"/>
        <v>18.172781845386247</v>
      </c>
    </row>
    <row r="69" spans="1:10" x14ac:dyDescent="0.25">
      <c r="A69">
        <v>37</v>
      </c>
      <c r="B69" s="28">
        <v>10</v>
      </c>
      <c r="C69" s="23">
        <v>128</v>
      </c>
      <c r="D69">
        <v>26</v>
      </c>
      <c r="E69" s="24">
        <v>128</v>
      </c>
      <c r="F69" s="28">
        <v>3</v>
      </c>
      <c r="G69" s="23">
        <v>23.5</v>
      </c>
      <c r="H69" s="23">
        <v>110</v>
      </c>
      <c r="I69" s="34">
        <f t="shared" si="0"/>
        <v>22.5</v>
      </c>
      <c r="J69" s="35">
        <f t="shared" si="1"/>
        <v>18.172781845386247</v>
      </c>
    </row>
    <row r="70" spans="1:10" x14ac:dyDescent="0.25">
      <c r="A70">
        <v>38</v>
      </c>
      <c r="B70" s="28">
        <v>10</v>
      </c>
      <c r="C70" s="23">
        <v>126</v>
      </c>
      <c r="D70">
        <v>26</v>
      </c>
      <c r="E70" s="24">
        <v>126</v>
      </c>
      <c r="F70" s="28">
        <v>3</v>
      </c>
      <c r="G70" s="23">
        <v>23.5</v>
      </c>
      <c r="H70" s="23">
        <v>110</v>
      </c>
      <c r="I70" s="34">
        <f t="shared" si="0"/>
        <v>20.934421415458321</v>
      </c>
      <c r="J70" s="35">
        <f t="shared" si="1"/>
        <v>16.194134740701646</v>
      </c>
    </row>
    <row r="71" spans="1:10" x14ac:dyDescent="0.25">
      <c r="A71">
        <v>39</v>
      </c>
      <c r="B71" s="28">
        <v>10</v>
      </c>
      <c r="C71" s="23">
        <v>124</v>
      </c>
      <c r="D71">
        <v>26</v>
      </c>
      <c r="E71" s="24">
        <v>124</v>
      </c>
      <c r="F71" s="28">
        <v>3</v>
      </c>
      <c r="G71" s="23">
        <v>23.5</v>
      </c>
      <c r="H71" s="23">
        <v>110</v>
      </c>
      <c r="I71" s="34">
        <f t="shared" si="0"/>
        <v>19.448650338776723</v>
      </c>
      <c r="J71" s="35">
        <f t="shared" si="1"/>
        <v>14.221462653327892</v>
      </c>
    </row>
    <row r="72" spans="1:10" x14ac:dyDescent="0.25">
      <c r="A72">
        <v>40</v>
      </c>
      <c r="B72" s="28">
        <v>10</v>
      </c>
      <c r="C72" s="23">
        <v>122</v>
      </c>
      <c r="D72">
        <v>26</v>
      </c>
      <c r="E72" s="24">
        <v>122</v>
      </c>
      <c r="F72" s="28">
        <v>3</v>
      </c>
      <c r="G72" s="23">
        <v>23.5</v>
      </c>
      <c r="H72" s="23">
        <v>110</v>
      </c>
      <c r="I72" s="34">
        <f t="shared" si="0"/>
        <v>18.062391868188442</v>
      </c>
      <c r="J72" s="35">
        <f t="shared" si="1"/>
        <v>12.257650672131263</v>
      </c>
    </row>
    <row r="73" spans="1:10" x14ac:dyDescent="0.25">
      <c r="A73">
        <v>41</v>
      </c>
      <c r="B73" s="28">
        <v>10</v>
      </c>
      <c r="C73" s="23">
        <v>120</v>
      </c>
      <c r="D73">
        <v>26</v>
      </c>
      <c r="E73" s="24">
        <v>120</v>
      </c>
      <c r="F73" s="28">
        <v>3</v>
      </c>
      <c r="G73" s="23">
        <v>23.5</v>
      </c>
      <c r="H73" s="23">
        <v>110</v>
      </c>
      <c r="I73" s="34">
        <f t="shared" si="0"/>
        <v>16.800297616411441</v>
      </c>
      <c r="J73" s="35">
        <f t="shared" si="1"/>
        <v>10.307764064044152</v>
      </c>
    </row>
    <row r="74" spans="1:10" x14ac:dyDescent="0.25">
      <c r="A74">
        <v>42</v>
      </c>
      <c r="B74" s="28">
        <v>10</v>
      </c>
      <c r="C74" s="23">
        <v>118</v>
      </c>
      <c r="D74">
        <v>26</v>
      </c>
      <c r="E74" s="24">
        <v>118</v>
      </c>
      <c r="F74" s="28">
        <v>3</v>
      </c>
      <c r="G74" s="23">
        <v>23.5</v>
      </c>
      <c r="H74" s="23">
        <v>110</v>
      </c>
      <c r="I74" s="34">
        <f t="shared" si="0"/>
        <v>15.692354826475215</v>
      </c>
      <c r="J74" s="35">
        <f t="shared" si="1"/>
        <v>8.3815273071201055</v>
      </c>
    </row>
    <row r="75" spans="1:10" x14ac:dyDescent="0.25">
      <c r="A75">
        <v>43</v>
      </c>
      <c r="B75" s="28">
        <v>10</v>
      </c>
      <c r="C75" s="23">
        <v>116</v>
      </c>
      <c r="D75">
        <v>26</v>
      </c>
      <c r="E75" s="24">
        <v>116</v>
      </c>
      <c r="F75" s="28">
        <v>3</v>
      </c>
      <c r="G75" s="23">
        <v>23.5</v>
      </c>
      <c r="H75" s="23">
        <v>110</v>
      </c>
      <c r="I75" s="34">
        <f t="shared" si="0"/>
        <v>14.773286702694158</v>
      </c>
      <c r="J75" s="35">
        <f t="shared" si="1"/>
        <v>6.5</v>
      </c>
    </row>
    <row r="76" spans="1:10" x14ac:dyDescent="0.25">
      <c r="A76">
        <v>44</v>
      </c>
      <c r="B76" s="28">
        <v>10</v>
      </c>
      <c r="C76" s="23">
        <v>114</v>
      </c>
      <c r="D76">
        <v>26</v>
      </c>
      <c r="E76" s="24">
        <v>114</v>
      </c>
      <c r="F76" s="28">
        <v>3</v>
      </c>
      <c r="G76" s="23">
        <v>23.5</v>
      </c>
      <c r="H76" s="23">
        <v>110</v>
      </c>
      <c r="I76" s="34">
        <f t="shared" si="0"/>
        <v>14.080127840328723</v>
      </c>
      <c r="J76" s="35">
        <f t="shared" si="1"/>
        <v>4.7169905660283016</v>
      </c>
    </row>
    <row r="77" spans="1:10" x14ac:dyDescent="0.25">
      <c r="A77">
        <v>45</v>
      </c>
      <c r="B77" s="28">
        <v>10</v>
      </c>
      <c r="C77" s="23">
        <v>112</v>
      </c>
      <c r="D77">
        <v>26</v>
      </c>
      <c r="E77" s="24">
        <v>112</v>
      </c>
      <c r="F77" s="28">
        <v>3</v>
      </c>
      <c r="G77" s="23">
        <v>23.5</v>
      </c>
      <c r="H77" s="23">
        <v>110</v>
      </c>
      <c r="I77" s="34">
        <f t="shared" si="0"/>
        <v>13.647344063956181</v>
      </c>
      <c r="J77" s="35">
        <f t="shared" si="1"/>
        <v>3.2015621187164243</v>
      </c>
    </row>
    <row r="78" spans="1:10" x14ac:dyDescent="0.25">
      <c r="A78">
        <v>46</v>
      </c>
      <c r="B78" s="28">
        <v>10</v>
      </c>
      <c r="C78" s="23">
        <v>110</v>
      </c>
      <c r="D78">
        <v>26</v>
      </c>
      <c r="E78" s="24">
        <v>110</v>
      </c>
      <c r="F78" s="28">
        <v>3</v>
      </c>
      <c r="G78" s="23">
        <v>23.5</v>
      </c>
      <c r="H78" s="23">
        <v>110</v>
      </c>
      <c r="I78" s="34">
        <f t="shared" si="0"/>
        <v>13.5</v>
      </c>
      <c r="J78" s="35">
        <f t="shared" si="1"/>
        <v>2.5</v>
      </c>
    </row>
    <row r="79" spans="1:10" x14ac:dyDescent="0.25">
      <c r="A79">
        <v>47</v>
      </c>
      <c r="B79" s="28">
        <v>10</v>
      </c>
      <c r="C79" s="23">
        <v>108</v>
      </c>
      <c r="D79">
        <v>26</v>
      </c>
      <c r="E79" s="24">
        <v>108</v>
      </c>
      <c r="F79" s="28">
        <v>3</v>
      </c>
      <c r="G79" s="23">
        <v>23.5</v>
      </c>
      <c r="H79" s="23">
        <v>110</v>
      </c>
      <c r="I79" s="34">
        <f t="shared" si="0"/>
        <v>13.647344063956181</v>
      </c>
      <c r="J79" s="35">
        <f t="shared" si="1"/>
        <v>3.2015621187164243</v>
      </c>
    </row>
    <row r="80" spans="1:10" x14ac:dyDescent="0.25">
      <c r="A80">
        <v>48</v>
      </c>
      <c r="B80" s="28">
        <v>10</v>
      </c>
      <c r="C80" s="23">
        <v>106</v>
      </c>
      <c r="D80">
        <v>26</v>
      </c>
      <c r="E80" s="24">
        <v>106</v>
      </c>
      <c r="F80" s="28">
        <v>3</v>
      </c>
      <c r="G80" s="23">
        <v>23.5</v>
      </c>
      <c r="H80" s="23">
        <v>110</v>
      </c>
      <c r="I80" s="34">
        <f t="shared" si="0"/>
        <v>14.080127840328723</v>
      </c>
      <c r="J80" s="35">
        <f t="shared" si="1"/>
        <v>4.7169905660283016</v>
      </c>
    </row>
    <row r="81" spans="1:10" x14ac:dyDescent="0.25">
      <c r="A81">
        <v>49</v>
      </c>
      <c r="B81" s="28">
        <v>10</v>
      </c>
      <c r="C81" s="23">
        <v>104</v>
      </c>
      <c r="D81">
        <v>26</v>
      </c>
      <c r="E81" s="24">
        <v>104</v>
      </c>
      <c r="F81" s="28">
        <v>3</v>
      </c>
      <c r="G81" s="23">
        <v>23.5</v>
      </c>
      <c r="H81" s="23">
        <v>110</v>
      </c>
      <c r="I81" s="34">
        <f t="shared" si="0"/>
        <v>14.773286702694158</v>
      </c>
      <c r="J81" s="35">
        <f t="shared" si="1"/>
        <v>6.5</v>
      </c>
    </row>
    <row r="82" spans="1:10" x14ac:dyDescent="0.25">
      <c r="A82">
        <v>50</v>
      </c>
      <c r="B82" s="28">
        <v>10</v>
      </c>
      <c r="C82" s="23">
        <v>102</v>
      </c>
      <c r="D82">
        <v>26</v>
      </c>
      <c r="E82" s="24">
        <v>102</v>
      </c>
      <c r="F82" s="28">
        <v>3</v>
      </c>
      <c r="G82" s="23">
        <v>23.5</v>
      </c>
      <c r="H82" s="23">
        <v>110</v>
      </c>
      <c r="I82" s="34">
        <f t="shared" si="0"/>
        <v>15.692354826475215</v>
      </c>
      <c r="J82" s="35">
        <f t="shared" si="1"/>
        <v>8.3815273071201055</v>
      </c>
    </row>
    <row r="83" spans="1:10" x14ac:dyDescent="0.25">
      <c r="A83">
        <v>51</v>
      </c>
      <c r="B83" s="28">
        <v>10</v>
      </c>
      <c r="C83" s="23">
        <v>100</v>
      </c>
      <c r="D83">
        <v>26</v>
      </c>
      <c r="E83" s="24">
        <v>100</v>
      </c>
      <c r="F83" s="28">
        <v>3</v>
      </c>
      <c r="G83" s="23">
        <v>23.5</v>
      </c>
      <c r="H83" s="23">
        <v>110</v>
      </c>
      <c r="I83" s="34">
        <f t="shared" si="0"/>
        <v>16.800297616411441</v>
      </c>
      <c r="J83" s="35">
        <f t="shared" si="1"/>
        <v>10.307764064044152</v>
      </c>
    </row>
    <row r="84" spans="1:10" x14ac:dyDescent="0.25">
      <c r="A84">
        <v>52</v>
      </c>
      <c r="B84" s="28">
        <v>10</v>
      </c>
      <c r="C84" s="23">
        <v>98</v>
      </c>
      <c r="D84">
        <v>26</v>
      </c>
      <c r="E84" s="24">
        <v>98</v>
      </c>
      <c r="F84" s="28">
        <v>3</v>
      </c>
      <c r="G84" s="23">
        <v>23.5</v>
      </c>
      <c r="H84" s="23">
        <v>110</v>
      </c>
      <c r="I84" s="34">
        <f t="shared" si="0"/>
        <v>18.062391868188442</v>
      </c>
      <c r="J84" s="35">
        <f t="shared" si="1"/>
        <v>12.257650672131263</v>
      </c>
    </row>
    <row r="85" spans="1:10" x14ac:dyDescent="0.25">
      <c r="A85">
        <v>53</v>
      </c>
      <c r="B85" s="28">
        <v>10</v>
      </c>
      <c r="C85" s="23">
        <v>96</v>
      </c>
      <c r="D85">
        <v>26</v>
      </c>
      <c r="E85" s="24">
        <v>96</v>
      </c>
      <c r="F85" s="28">
        <v>3</v>
      </c>
      <c r="G85" s="23">
        <v>23.5</v>
      </c>
      <c r="H85" s="23">
        <v>110</v>
      </c>
      <c r="I85" s="34">
        <f t="shared" si="0"/>
        <v>19.448650338776723</v>
      </c>
      <c r="J85" s="35">
        <f t="shared" si="1"/>
        <v>14.221462653327892</v>
      </c>
    </row>
    <row r="86" spans="1:10" x14ac:dyDescent="0.25">
      <c r="A86">
        <v>54</v>
      </c>
      <c r="B86" s="28">
        <v>10</v>
      </c>
      <c r="C86" s="23">
        <v>94</v>
      </c>
      <c r="D86">
        <v>26</v>
      </c>
      <c r="E86" s="24">
        <v>94</v>
      </c>
      <c r="F86" s="28">
        <v>3</v>
      </c>
      <c r="G86" s="23">
        <v>23.5</v>
      </c>
      <c r="H86" s="23">
        <v>110</v>
      </c>
      <c r="I86" s="34">
        <f t="shared" si="0"/>
        <v>20.934421415458321</v>
      </c>
      <c r="J86" s="35">
        <f t="shared" si="1"/>
        <v>16.194134740701646</v>
      </c>
    </row>
    <row r="87" spans="1:10" x14ac:dyDescent="0.25">
      <c r="A87">
        <v>55</v>
      </c>
      <c r="B87" s="28">
        <v>10</v>
      </c>
      <c r="C87" s="23">
        <v>92</v>
      </c>
      <c r="D87">
        <v>26</v>
      </c>
      <c r="E87" s="24">
        <v>92</v>
      </c>
      <c r="F87" s="28">
        <v>2</v>
      </c>
      <c r="G87" s="23">
        <v>23.5</v>
      </c>
      <c r="H87" s="23">
        <v>78</v>
      </c>
      <c r="I87" s="34">
        <f t="shared" si="0"/>
        <v>19.448650338776723</v>
      </c>
      <c r="J87" s="35">
        <f t="shared" si="1"/>
        <v>14.221462653327892</v>
      </c>
    </row>
    <row r="88" spans="1:10" x14ac:dyDescent="0.25">
      <c r="A88">
        <v>56</v>
      </c>
      <c r="B88" s="28">
        <v>10</v>
      </c>
      <c r="C88" s="23">
        <v>90</v>
      </c>
      <c r="D88">
        <v>26</v>
      </c>
      <c r="E88" s="24">
        <v>90</v>
      </c>
      <c r="F88" s="28">
        <v>2</v>
      </c>
      <c r="G88" s="23">
        <v>23.5</v>
      </c>
      <c r="H88" s="23">
        <v>78</v>
      </c>
      <c r="I88" s="34">
        <f t="shared" si="0"/>
        <v>18.062391868188442</v>
      </c>
      <c r="J88" s="35">
        <f t="shared" si="1"/>
        <v>12.257650672131263</v>
      </c>
    </row>
    <row r="89" spans="1:10" x14ac:dyDescent="0.25">
      <c r="A89">
        <v>57</v>
      </c>
      <c r="B89" s="28">
        <v>10</v>
      </c>
      <c r="C89" s="23">
        <v>88</v>
      </c>
      <c r="D89">
        <v>26</v>
      </c>
      <c r="E89" s="24">
        <v>88</v>
      </c>
      <c r="F89" s="28">
        <v>2</v>
      </c>
      <c r="G89" s="23">
        <v>23.5</v>
      </c>
      <c r="H89" s="23">
        <v>78</v>
      </c>
      <c r="I89" s="34">
        <f t="shared" si="0"/>
        <v>16.800297616411441</v>
      </c>
      <c r="J89" s="35">
        <f t="shared" si="1"/>
        <v>10.307764064044152</v>
      </c>
    </row>
    <row r="90" spans="1:10" x14ac:dyDescent="0.25">
      <c r="A90">
        <v>58</v>
      </c>
      <c r="B90" s="28">
        <v>10</v>
      </c>
      <c r="C90" s="23">
        <v>86</v>
      </c>
      <c r="D90">
        <v>26</v>
      </c>
      <c r="E90" s="24">
        <v>86</v>
      </c>
      <c r="F90" s="28">
        <v>2</v>
      </c>
      <c r="G90" s="23">
        <v>23.5</v>
      </c>
      <c r="H90" s="23">
        <v>78</v>
      </c>
      <c r="I90" s="34">
        <f t="shared" si="0"/>
        <v>15.692354826475215</v>
      </c>
      <c r="J90" s="35">
        <f t="shared" si="1"/>
        <v>8.3815273071201055</v>
      </c>
    </row>
    <row r="91" spans="1:10" x14ac:dyDescent="0.25">
      <c r="A91">
        <v>59</v>
      </c>
      <c r="B91" s="28">
        <v>10</v>
      </c>
      <c r="C91" s="23">
        <v>84</v>
      </c>
      <c r="D91">
        <v>26</v>
      </c>
      <c r="E91" s="24">
        <v>84</v>
      </c>
      <c r="F91" s="28">
        <v>2</v>
      </c>
      <c r="G91" s="23">
        <v>23.5</v>
      </c>
      <c r="H91" s="23">
        <v>78</v>
      </c>
      <c r="I91" s="34">
        <f t="shared" si="0"/>
        <v>14.773286702694158</v>
      </c>
      <c r="J91" s="35">
        <f t="shared" si="1"/>
        <v>6.5</v>
      </c>
    </row>
    <row r="92" spans="1:10" x14ac:dyDescent="0.25">
      <c r="A92">
        <v>60</v>
      </c>
      <c r="B92" s="28">
        <v>10</v>
      </c>
      <c r="C92" s="23">
        <v>82</v>
      </c>
      <c r="D92">
        <v>26</v>
      </c>
      <c r="E92" s="24">
        <v>82</v>
      </c>
      <c r="F92" s="28">
        <v>2</v>
      </c>
      <c r="G92" s="23">
        <v>23.5</v>
      </c>
      <c r="H92" s="23">
        <v>78</v>
      </c>
      <c r="I92" s="34">
        <f t="shared" si="0"/>
        <v>14.080127840328723</v>
      </c>
      <c r="J92" s="35">
        <f t="shared" si="1"/>
        <v>4.7169905660283016</v>
      </c>
    </row>
    <row r="93" spans="1:10" x14ac:dyDescent="0.25">
      <c r="A93">
        <v>61</v>
      </c>
      <c r="B93" s="28">
        <v>10</v>
      </c>
      <c r="C93" s="23">
        <v>80</v>
      </c>
      <c r="D93">
        <v>26</v>
      </c>
      <c r="E93" s="24">
        <v>80</v>
      </c>
      <c r="F93" s="28">
        <v>2</v>
      </c>
      <c r="G93" s="23">
        <v>23.5</v>
      </c>
      <c r="H93" s="23">
        <v>78</v>
      </c>
      <c r="I93" s="34">
        <f t="shared" si="0"/>
        <v>13.647344063956181</v>
      </c>
      <c r="J93" s="35">
        <f t="shared" si="1"/>
        <v>3.2015621187164243</v>
      </c>
    </row>
    <row r="94" spans="1:10" x14ac:dyDescent="0.25">
      <c r="A94">
        <v>62</v>
      </c>
      <c r="B94" s="28">
        <v>10</v>
      </c>
      <c r="C94" s="23">
        <v>78</v>
      </c>
      <c r="D94">
        <v>26</v>
      </c>
      <c r="E94" s="24">
        <v>78</v>
      </c>
      <c r="F94" s="28">
        <v>2</v>
      </c>
      <c r="G94" s="23">
        <v>23.5</v>
      </c>
      <c r="H94" s="23">
        <v>78</v>
      </c>
      <c r="I94" s="34">
        <f t="shared" si="0"/>
        <v>13.5</v>
      </c>
      <c r="J94" s="35">
        <f t="shared" si="1"/>
        <v>2.5</v>
      </c>
    </row>
    <row r="95" spans="1:10" x14ac:dyDescent="0.25">
      <c r="A95">
        <v>63</v>
      </c>
      <c r="B95" s="28">
        <v>10</v>
      </c>
      <c r="C95" s="23">
        <v>76</v>
      </c>
      <c r="D95">
        <v>26</v>
      </c>
      <c r="E95" s="24">
        <v>76</v>
      </c>
      <c r="F95" s="28">
        <v>2</v>
      </c>
      <c r="G95" s="23">
        <v>23.5</v>
      </c>
      <c r="H95" s="23">
        <v>78</v>
      </c>
      <c r="I95" s="34">
        <f t="shared" si="0"/>
        <v>13.647344063956181</v>
      </c>
      <c r="J95" s="35">
        <f t="shared" si="1"/>
        <v>3.2015621187164243</v>
      </c>
    </row>
    <row r="96" spans="1:10" x14ac:dyDescent="0.25">
      <c r="A96">
        <v>64</v>
      </c>
      <c r="B96" s="28">
        <v>10</v>
      </c>
      <c r="C96" s="23">
        <v>74</v>
      </c>
      <c r="D96">
        <v>26</v>
      </c>
      <c r="E96" s="24">
        <v>74</v>
      </c>
      <c r="F96" s="28">
        <v>2</v>
      </c>
      <c r="G96" s="23">
        <v>23.5</v>
      </c>
      <c r="H96" s="23">
        <v>78</v>
      </c>
      <c r="I96" s="34">
        <f t="shared" si="0"/>
        <v>14.080127840328723</v>
      </c>
      <c r="J96" s="35">
        <f t="shared" si="1"/>
        <v>4.7169905660283016</v>
      </c>
    </row>
    <row r="97" spans="1:10" x14ac:dyDescent="0.25">
      <c r="A97">
        <v>65</v>
      </c>
      <c r="B97" s="28">
        <v>10</v>
      </c>
      <c r="C97" s="23">
        <v>72</v>
      </c>
      <c r="D97">
        <v>26</v>
      </c>
      <c r="E97" s="24">
        <v>72</v>
      </c>
      <c r="F97" s="28">
        <v>2</v>
      </c>
      <c r="G97" s="23">
        <v>23.5</v>
      </c>
      <c r="H97" s="23">
        <v>78</v>
      </c>
      <c r="I97" s="34">
        <f t="shared" si="0"/>
        <v>14.773286702694158</v>
      </c>
      <c r="J97" s="35">
        <f t="shared" si="1"/>
        <v>6.5</v>
      </c>
    </row>
    <row r="98" spans="1:10" x14ac:dyDescent="0.25">
      <c r="A98">
        <v>66</v>
      </c>
      <c r="B98" s="28">
        <v>10</v>
      </c>
      <c r="C98" s="23">
        <v>70</v>
      </c>
      <c r="D98">
        <v>26</v>
      </c>
      <c r="E98" s="24">
        <v>70</v>
      </c>
      <c r="F98" s="28">
        <v>2</v>
      </c>
      <c r="G98" s="23">
        <v>23.5</v>
      </c>
      <c r="H98" s="23">
        <v>78</v>
      </c>
      <c r="I98" s="34">
        <f t="shared" ref="I98:I122" si="2">SQRT((B98-G98)^2+(C98-H98)^2)</f>
        <v>15.692354826475215</v>
      </c>
      <c r="J98" s="35">
        <f t="shared" ref="J98:J122" si="3">SQRT((D98-G98)^2+(E98-H98)^2)</f>
        <v>8.3815273071201055</v>
      </c>
    </row>
    <row r="99" spans="1:10" x14ac:dyDescent="0.25">
      <c r="A99">
        <v>67</v>
      </c>
      <c r="B99" s="28">
        <v>10</v>
      </c>
      <c r="C99" s="23">
        <v>68</v>
      </c>
      <c r="D99">
        <v>26</v>
      </c>
      <c r="E99" s="24">
        <v>68</v>
      </c>
      <c r="F99" s="28">
        <v>2</v>
      </c>
      <c r="G99" s="23">
        <v>23.5</v>
      </c>
      <c r="H99" s="23">
        <v>78</v>
      </c>
      <c r="I99" s="34">
        <f t="shared" si="2"/>
        <v>16.800297616411441</v>
      </c>
      <c r="J99" s="35">
        <f t="shared" si="3"/>
        <v>10.307764064044152</v>
      </c>
    </row>
    <row r="100" spans="1:10" x14ac:dyDescent="0.25">
      <c r="A100">
        <v>68</v>
      </c>
      <c r="B100" s="28">
        <v>10</v>
      </c>
      <c r="C100" s="23">
        <v>66</v>
      </c>
      <c r="D100">
        <v>26</v>
      </c>
      <c r="E100" s="24">
        <v>66</v>
      </c>
      <c r="F100" s="28">
        <v>2</v>
      </c>
      <c r="G100" s="23">
        <v>23.5</v>
      </c>
      <c r="H100" s="23">
        <v>78</v>
      </c>
      <c r="I100" s="34">
        <f t="shared" si="2"/>
        <v>18.062391868188442</v>
      </c>
      <c r="J100" s="35">
        <f t="shared" si="3"/>
        <v>12.257650672131263</v>
      </c>
    </row>
    <row r="101" spans="1:10" x14ac:dyDescent="0.25">
      <c r="A101">
        <v>69</v>
      </c>
      <c r="B101" s="28">
        <v>10</v>
      </c>
      <c r="C101" s="23">
        <v>64</v>
      </c>
      <c r="D101">
        <v>26</v>
      </c>
      <c r="E101" s="24">
        <v>64</v>
      </c>
      <c r="F101" s="28">
        <v>2</v>
      </c>
      <c r="G101" s="23">
        <v>23.5</v>
      </c>
      <c r="H101" s="23">
        <v>78</v>
      </c>
      <c r="I101" s="34">
        <f t="shared" si="2"/>
        <v>19.448650338776723</v>
      </c>
      <c r="J101" s="35">
        <f t="shared" si="3"/>
        <v>14.221462653327892</v>
      </c>
    </row>
    <row r="102" spans="1:10" x14ac:dyDescent="0.25">
      <c r="A102">
        <v>70</v>
      </c>
      <c r="B102" s="28">
        <v>10</v>
      </c>
      <c r="C102" s="23">
        <v>62</v>
      </c>
      <c r="D102">
        <v>26</v>
      </c>
      <c r="E102" s="24">
        <v>62</v>
      </c>
      <c r="F102" s="28">
        <v>2</v>
      </c>
      <c r="G102" s="23">
        <v>23.5</v>
      </c>
      <c r="H102" s="23">
        <v>78</v>
      </c>
      <c r="I102" s="34">
        <f t="shared" si="2"/>
        <v>20.934421415458321</v>
      </c>
      <c r="J102" s="35">
        <f t="shared" si="3"/>
        <v>16.194134740701646</v>
      </c>
    </row>
    <row r="103" spans="1:10" x14ac:dyDescent="0.25">
      <c r="A103">
        <v>71</v>
      </c>
      <c r="B103" s="28">
        <v>10</v>
      </c>
      <c r="C103" s="23">
        <v>60</v>
      </c>
      <c r="D103">
        <v>26</v>
      </c>
      <c r="E103" s="24">
        <v>60</v>
      </c>
      <c r="F103" s="28">
        <v>2</v>
      </c>
      <c r="G103" s="23">
        <v>23.5</v>
      </c>
      <c r="H103" s="23">
        <v>78</v>
      </c>
      <c r="I103" s="34">
        <f t="shared" si="2"/>
        <v>22.5</v>
      </c>
      <c r="J103" s="35">
        <f t="shared" si="3"/>
        <v>18.172781845386247</v>
      </c>
    </row>
    <row r="104" spans="1:10" x14ac:dyDescent="0.25">
      <c r="A104">
        <v>72</v>
      </c>
      <c r="B104" s="28">
        <v>10</v>
      </c>
      <c r="C104" s="23">
        <v>58</v>
      </c>
      <c r="D104">
        <v>26</v>
      </c>
      <c r="E104" s="24">
        <v>58</v>
      </c>
      <c r="F104" s="28">
        <v>2</v>
      </c>
      <c r="G104" s="23">
        <v>23.5</v>
      </c>
      <c r="H104" s="23">
        <v>78</v>
      </c>
      <c r="I104" s="34">
        <f t="shared" si="2"/>
        <v>24.129857024027309</v>
      </c>
      <c r="J104" s="35">
        <f t="shared" si="3"/>
        <v>20.155644370746373</v>
      </c>
    </row>
    <row r="105" spans="1:10" x14ac:dyDescent="0.25">
      <c r="A105">
        <v>73</v>
      </c>
      <c r="B105" s="28">
        <v>10</v>
      </c>
      <c r="C105" s="23">
        <v>56</v>
      </c>
      <c r="D105">
        <v>26</v>
      </c>
      <c r="E105" s="24">
        <v>56</v>
      </c>
      <c r="F105" s="28">
        <v>1</v>
      </c>
      <c r="G105" s="23">
        <v>23.5</v>
      </c>
      <c r="H105" s="23">
        <v>38</v>
      </c>
      <c r="I105" s="34">
        <f t="shared" si="2"/>
        <v>22.5</v>
      </c>
      <c r="J105" s="35">
        <f t="shared" si="3"/>
        <v>18.172781845386247</v>
      </c>
    </row>
    <row r="106" spans="1:10" x14ac:dyDescent="0.25">
      <c r="A106">
        <v>74</v>
      </c>
      <c r="B106" s="28">
        <v>10</v>
      </c>
      <c r="C106" s="23">
        <v>54</v>
      </c>
      <c r="D106">
        <v>26</v>
      </c>
      <c r="E106" s="24">
        <v>54</v>
      </c>
      <c r="F106" s="28">
        <v>1</v>
      </c>
      <c r="G106" s="23">
        <v>23.5</v>
      </c>
      <c r="H106" s="23">
        <v>38</v>
      </c>
      <c r="I106" s="34">
        <f t="shared" si="2"/>
        <v>20.934421415458321</v>
      </c>
      <c r="J106" s="35">
        <f t="shared" si="3"/>
        <v>16.194134740701646</v>
      </c>
    </row>
    <row r="107" spans="1:10" x14ac:dyDescent="0.25">
      <c r="A107">
        <v>75</v>
      </c>
      <c r="B107" s="28">
        <v>10</v>
      </c>
      <c r="C107" s="23">
        <v>52</v>
      </c>
      <c r="D107">
        <v>26</v>
      </c>
      <c r="E107" s="24">
        <v>52</v>
      </c>
      <c r="F107" s="28">
        <v>1</v>
      </c>
      <c r="G107" s="23">
        <v>23.5</v>
      </c>
      <c r="H107" s="23">
        <v>38</v>
      </c>
      <c r="I107" s="34">
        <f t="shared" si="2"/>
        <v>19.448650338776723</v>
      </c>
      <c r="J107" s="35">
        <f t="shared" si="3"/>
        <v>14.221462653327892</v>
      </c>
    </row>
    <row r="108" spans="1:10" x14ac:dyDescent="0.25">
      <c r="A108">
        <v>76</v>
      </c>
      <c r="B108" s="28">
        <v>10</v>
      </c>
      <c r="C108" s="23">
        <v>50</v>
      </c>
      <c r="D108">
        <v>26</v>
      </c>
      <c r="E108" s="24">
        <v>50</v>
      </c>
      <c r="F108" s="28">
        <v>1</v>
      </c>
      <c r="G108" s="23">
        <v>23.5</v>
      </c>
      <c r="H108" s="23">
        <v>38</v>
      </c>
      <c r="I108" s="34">
        <f t="shared" si="2"/>
        <v>18.062391868188442</v>
      </c>
      <c r="J108" s="35">
        <f t="shared" si="3"/>
        <v>12.257650672131263</v>
      </c>
    </row>
    <row r="109" spans="1:10" x14ac:dyDescent="0.25">
      <c r="A109">
        <v>77</v>
      </c>
      <c r="B109" s="28">
        <v>10</v>
      </c>
      <c r="C109" s="23">
        <v>48</v>
      </c>
      <c r="D109">
        <v>26</v>
      </c>
      <c r="E109" s="24">
        <v>48</v>
      </c>
      <c r="F109" s="28">
        <v>1</v>
      </c>
      <c r="G109" s="23">
        <v>23.5</v>
      </c>
      <c r="H109" s="23">
        <v>38</v>
      </c>
      <c r="I109" s="34">
        <f t="shared" si="2"/>
        <v>16.800297616411441</v>
      </c>
      <c r="J109" s="35">
        <f t="shared" si="3"/>
        <v>10.307764064044152</v>
      </c>
    </row>
    <row r="110" spans="1:10" x14ac:dyDescent="0.25">
      <c r="A110">
        <v>78</v>
      </c>
      <c r="B110" s="28">
        <v>10</v>
      </c>
      <c r="C110" s="23">
        <v>46</v>
      </c>
      <c r="D110">
        <v>26</v>
      </c>
      <c r="E110" s="24">
        <v>46</v>
      </c>
      <c r="F110" s="28">
        <v>1</v>
      </c>
      <c r="G110" s="23">
        <v>23.5</v>
      </c>
      <c r="H110" s="23">
        <v>38</v>
      </c>
      <c r="I110" s="34">
        <f t="shared" si="2"/>
        <v>15.692354826475215</v>
      </c>
      <c r="J110" s="35">
        <f t="shared" si="3"/>
        <v>8.3815273071201055</v>
      </c>
    </row>
    <row r="111" spans="1:10" x14ac:dyDescent="0.25">
      <c r="A111">
        <v>79</v>
      </c>
      <c r="B111" s="28">
        <v>10</v>
      </c>
      <c r="C111" s="23">
        <v>44</v>
      </c>
      <c r="D111">
        <v>26</v>
      </c>
      <c r="E111" s="24">
        <v>44</v>
      </c>
      <c r="F111" s="28">
        <v>1</v>
      </c>
      <c r="G111" s="23">
        <v>23.5</v>
      </c>
      <c r="H111" s="23">
        <v>38</v>
      </c>
      <c r="I111" s="34">
        <f t="shared" si="2"/>
        <v>14.773286702694158</v>
      </c>
      <c r="J111" s="35">
        <f t="shared" si="3"/>
        <v>6.5</v>
      </c>
    </row>
    <row r="112" spans="1:10" x14ac:dyDescent="0.25">
      <c r="A112">
        <v>80</v>
      </c>
      <c r="B112" s="28">
        <v>10</v>
      </c>
      <c r="C112" s="23">
        <v>42</v>
      </c>
      <c r="D112">
        <v>26</v>
      </c>
      <c r="E112" s="24">
        <v>42</v>
      </c>
      <c r="F112" s="28">
        <v>1</v>
      </c>
      <c r="G112" s="23">
        <v>23.5</v>
      </c>
      <c r="H112" s="23">
        <v>38</v>
      </c>
      <c r="I112" s="34">
        <f t="shared" si="2"/>
        <v>14.080127840328723</v>
      </c>
      <c r="J112" s="35">
        <f t="shared" si="3"/>
        <v>4.7169905660283016</v>
      </c>
    </row>
    <row r="113" spans="1:10" x14ac:dyDescent="0.25">
      <c r="A113">
        <v>81</v>
      </c>
      <c r="B113" s="28">
        <v>10</v>
      </c>
      <c r="C113" s="23">
        <v>40</v>
      </c>
      <c r="D113">
        <v>26</v>
      </c>
      <c r="E113" s="24">
        <v>40</v>
      </c>
      <c r="F113" s="28">
        <v>1</v>
      </c>
      <c r="G113" s="23">
        <v>23.5</v>
      </c>
      <c r="H113" s="23">
        <v>38</v>
      </c>
      <c r="I113" s="34">
        <f t="shared" si="2"/>
        <v>13.647344063956181</v>
      </c>
      <c r="J113" s="35">
        <f t="shared" si="3"/>
        <v>3.2015621187164243</v>
      </c>
    </row>
    <row r="114" spans="1:10" x14ac:dyDescent="0.25">
      <c r="A114">
        <v>82</v>
      </c>
      <c r="B114" s="28">
        <v>10</v>
      </c>
      <c r="C114" s="23">
        <v>38</v>
      </c>
      <c r="D114">
        <v>26</v>
      </c>
      <c r="E114" s="24">
        <v>38</v>
      </c>
      <c r="F114" s="28">
        <v>1</v>
      </c>
      <c r="G114" s="23">
        <v>23.5</v>
      </c>
      <c r="H114" s="23">
        <v>38</v>
      </c>
      <c r="I114" s="34">
        <f t="shared" si="2"/>
        <v>13.5</v>
      </c>
      <c r="J114" s="35">
        <f t="shared" si="3"/>
        <v>2.5</v>
      </c>
    </row>
    <row r="115" spans="1:10" x14ac:dyDescent="0.25">
      <c r="A115">
        <v>83</v>
      </c>
      <c r="B115" s="28">
        <v>10</v>
      </c>
      <c r="C115" s="23">
        <v>36</v>
      </c>
      <c r="D115">
        <v>26</v>
      </c>
      <c r="E115" s="24">
        <v>36</v>
      </c>
      <c r="F115" s="28">
        <v>1</v>
      </c>
      <c r="G115" s="23">
        <v>23.5</v>
      </c>
      <c r="H115" s="23">
        <v>38</v>
      </c>
      <c r="I115" s="34">
        <f t="shared" si="2"/>
        <v>13.647344063956181</v>
      </c>
      <c r="J115" s="35">
        <f t="shared" si="3"/>
        <v>3.2015621187164243</v>
      </c>
    </row>
    <row r="116" spans="1:10" x14ac:dyDescent="0.25">
      <c r="A116">
        <v>84</v>
      </c>
      <c r="B116" s="28">
        <v>10</v>
      </c>
      <c r="C116" s="23">
        <v>34</v>
      </c>
      <c r="D116">
        <v>26</v>
      </c>
      <c r="E116" s="24">
        <v>34</v>
      </c>
      <c r="F116" s="28">
        <v>1</v>
      </c>
      <c r="G116" s="23">
        <v>23.5</v>
      </c>
      <c r="H116" s="23">
        <v>38</v>
      </c>
      <c r="I116" s="34">
        <f t="shared" si="2"/>
        <v>14.080127840328723</v>
      </c>
      <c r="J116" s="35">
        <f t="shared" si="3"/>
        <v>4.7169905660283016</v>
      </c>
    </row>
    <row r="117" spans="1:10" x14ac:dyDescent="0.25">
      <c r="A117">
        <v>85</v>
      </c>
      <c r="B117" s="28">
        <v>10</v>
      </c>
      <c r="C117" s="23">
        <v>32</v>
      </c>
      <c r="D117">
        <v>26</v>
      </c>
      <c r="E117" s="24">
        <v>32</v>
      </c>
      <c r="F117" s="28">
        <v>1</v>
      </c>
      <c r="G117" s="23">
        <v>23.5</v>
      </c>
      <c r="H117" s="23">
        <v>38</v>
      </c>
      <c r="I117" s="34">
        <f t="shared" si="2"/>
        <v>14.773286702694158</v>
      </c>
      <c r="J117" s="35">
        <f t="shared" si="3"/>
        <v>6.5</v>
      </c>
    </row>
    <row r="118" spans="1:10" x14ac:dyDescent="0.25">
      <c r="A118">
        <v>86</v>
      </c>
      <c r="B118" s="28">
        <v>10</v>
      </c>
      <c r="C118" s="23">
        <v>30</v>
      </c>
      <c r="D118">
        <v>26</v>
      </c>
      <c r="E118" s="24">
        <v>30</v>
      </c>
      <c r="F118" s="28">
        <v>1</v>
      </c>
      <c r="G118" s="23">
        <v>23.5</v>
      </c>
      <c r="H118" s="23">
        <v>38</v>
      </c>
      <c r="I118" s="34">
        <f t="shared" si="2"/>
        <v>15.692354826475215</v>
      </c>
      <c r="J118" s="35">
        <f t="shared" si="3"/>
        <v>8.3815273071201055</v>
      </c>
    </row>
    <row r="119" spans="1:10" x14ac:dyDescent="0.25">
      <c r="A119">
        <v>87</v>
      </c>
      <c r="B119" s="28">
        <v>10</v>
      </c>
      <c r="C119" s="23">
        <v>28</v>
      </c>
      <c r="D119">
        <v>26</v>
      </c>
      <c r="E119" s="24">
        <v>28</v>
      </c>
      <c r="F119" s="28">
        <v>1</v>
      </c>
      <c r="G119" s="23">
        <v>23.5</v>
      </c>
      <c r="H119" s="23">
        <v>38</v>
      </c>
      <c r="I119" s="34">
        <f t="shared" si="2"/>
        <v>16.800297616411441</v>
      </c>
      <c r="J119" s="35">
        <f t="shared" si="3"/>
        <v>10.307764064044152</v>
      </c>
    </row>
    <row r="120" spans="1:10" x14ac:dyDescent="0.25">
      <c r="A120">
        <v>88</v>
      </c>
      <c r="B120" s="28">
        <v>10</v>
      </c>
      <c r="C120" s="23">
        <v>26</v>
      </c>
      <c r="D120">
        <v>26</v>
      </c>
      <c r="E120" s="24">
        <v>26</v>
      </c>
      <c r="F120" s="28">
        <v>1</v>
      </c>
      <c r="G120" s="23">
        <v>23.5</v>
      </c>
      <c r="H120" s="23">
        <v>38</v>
      </c>
      <c r="I120" s="34">
        <f t="shared" si="2"/>
        <v>18.062391868188442</v>
      </c>
      <c r="J120" s="35">
        <f t="shared" si="3"/>
        <v>12.257650672131263</v>
      </c>
    </row>
    <row r="121" spans="1:10" x14ac:dyDescent="0.25">
      <c r="A121">
        <v>89</v>
      </c>
      <c r="B121" s="28">
        <v>10</v>
      </c>
      <c r="C121" s="23">
        <v>24</v>
      </c>
      <c r="D121">
        <v>26</v>
      </c>
      <c r="E121" s="24">
        <v>24</v>
      </c>
      <c r="F121" s="28">
        <v>1</v>
      </c>
      <c r="G121" s="23">
        <v>23.5</v>
      </c>
      <c r="H121" s="23">
        <v>38</v>
      </c>
      <c r="I121" s="34">
        <f t="shared" si="2"/>
        <v>19.448650338776723</v>
      </c>
      <c r="J121" s="35">
        <f t="shared" si="3"/>
        <v>14.221462653327892</v>
      </c>
    </row>
    <row r="122" spans="1:10" ht="15.75" thickBot="1" x14ac:dyDescent="0.3">
      <c r="A122">
        <v>90</v>
      </c>
      <c r="B122" s="29">
        <v>10</v>
      </c>
      <c r="C122" s="22">
        <v>22</v>
      </c>
      <c r="D122" s="4">
        <v>26</v>
      </c>
      <c r="E122" s="25">
        <v>22</v>
      </c>
      <c r="F122" s="29">
        <v>1</v>
      </c>
      <c r="G122" s="22">
        <v>23.5</v>
      </c>
      <c r="H122" s="22">
        <v>38</v>
      </c>
      <c r="I122" s="36">
        <f t="shared" si="2"/>
        <v>20.934421415458321</v>
      </c>
      <c r="J122" s="37">
        <f t="shared" si="3"/>
        <v>16.194134740701646</v>
      </c>
    </row>
  </sheetData>
  <mergeCells count="25">
    <mergeCell ref="L4:M4"/>
    <mergeCell ref="L6:M6"/>
    <mergeCell ref="L8:M8"/>
    <mergeCell ref="B2:D2"/>
    <mergeCell ref="B8:D8"/>
    <mergeCell ref="F2:J2"/>
    <mergeCell ref="F3:H3"/>
    <mergeCell ref="F4:H4"/>
    <mergeCell ref="F5:H5"/>
    <mergeCell ref="B31:C31"/>
    <mergeCell ref="D31:E31"/>
    <mergeCell ref="F31:J31"/>
    <mergeCell ref="B18:G18"/>
    <mergeCell ref="L2:O2"/>
    <mergeCell ref="F11:H11"/>
    <mergeCell ref="F12:H12"/>
    <mergeCell ref="F14:H14"/>
    <mergeCell ref="F15:H15"/>
    <mergeCell ref="L10:O10"/>
    <mergeCell ref="F6:H6"/>
    <mergeCell ref="F7:H7"/>
    <mergeCell ref="F8:H8"/>
    <mergeCell ref="F9:H9"/>
    <mergeCell ref="F10:H10"/>
    <mergeCell ref="L3:M3"/>
  </mergeCells>
  <phoneticPr fontId="2" type="noConversion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58749-6845-4E54-8BFD-77F7BD342A0C}">
  <sheetPr codeName="Planilha2"/>
  <dimension ref="A1:O122"/>
  <sheetViews>
    <sheetView zoomScale="70" zoomScaleNormal="70" workbookViewId="0">
      <selection activeCell="J22" sqref="J22"/>
    </sheetView>
  </sheetViews>
  <sheetFormatPr defaultRowHeight="15" x14ac:dyDescent="0.25"/>
  <cols>
    <col min="2" max="2" width="30.85546875" customWidth="1"/>
    <col min="3" max="3" width="14" customWidth="1"/>
    <col min="5" max="5" width="19.7109375" customWidth="1"/>
    <col min="6" max="6" width="13" bestFit="1" customWidth="1"/>
    <col min="8" max="8" width="13.5703125" customWidth="1"/>
    <col min="9" max="9" width="11.28515625" customWidth="1"/>
    <col min="10" max="10" width="12.42578125" customWidth="1"/>
    <col min="13" max="13" width="16.28515625" bestFit="1" customWidth="1"/>
    <col min="14" max="14" width="14.28515625" customWidth="1"/>
  </cols>
  <sheetData>
    <row r="1" spans="2:15" ht="15.75" thickBot="1" x14ac:dyDescent="0.3"/>
    <row r="2" spans="2:15" x14ac:dyDescent="0.25">
      <c r="B2" s="58" t="s">
        <v>0</v>
      </c>
      <c r="C2" s="59"/>
      <c r="D2" s="60"/>
      <c r="F2" s="58" t="s">
        <v>12</v>
      </c>
      <c r="G2" s="59"/>
      <c r="H2" s="59"/>
      <c r="I2" s="59"/>
      <c r="J2" s="60"/>
      <c r="L2" s="49" t="s">
        <v>23</v>
      </c>
      <c r="M2" s="50"/>
      <c r="N2" s="50"/>
      <c r="O2" s="51"/>
    </row>
    <row r="3" spans="2:15" x14ac:dyDescent="0.25">
      <c r="B3" s="11" t="s">
        <v>1</v>
      </c>
      <c r="C3" s="12" t="s">
        <v>8</v>
      </c>
      <c r="D3" s="13"/>
      <c r="F3" s="52" t="s">
        <v>13</v>
      </c>
      <c r="G3" s="53"/>
      <c r="H3" s="53"/>
      <c r="I3" s="12">
        <v>1350</v>
      </c>
      <c r="J3" s="13"/>
      <c r="L3" s="57" t="s">
        <v>24</v>
      </c>
      <c r="M3" s="56"/>
      <c r="N3">
        <v>6</v>
      </c>
      <c r="O3" s="2" t="s">
        <v>26</v>
      </c>
    </row>
    <row r="4" spans="2:15" x14ac:dyDescent="0.25">
      <c r="B4" s="11" t="s">
        <v>2</v>
      </c>
      <c r="C4" s="12">
        <v>550</v>
      </c>
      <c r="D4" s="13" t="s">
        <v>5</v>
      </c>
      <c r="F4" s="52" t="s">
        <v>14</v>
      </c>
      <c r="G4" s="53"/>
      <c r="H4" s="53"/>
      <c r="I4" s="12">
        <f>I3*C4/1000</f>
        <v>742.5</v>
      </c>
      <c r="J4" s="13" t="s">
        <v>18</v>
      </c>
      <c r="L4" s="57" t="s">
        <v>25</v>
      </c>
      <c r="M4" s="56"/>
      <c r="N4">
        <v>3.3999999999999998E-3</v>
      </c>
      <c r="O4" s="2" t="s">
        <v>31</v>
      </c>
    </row>
    <row r="5" spans="2:15" x14ac:dyDescent="0.25">
      <c r="B5" s="11" t="s">
        <v>3</v>
      </c>
      <c r="C5" s="12">
        <v>49</v>
      </c>
      <c r="D5" s="13" t="s">
        <v>6</v>
      </c>
      <c r="F5" s="52" t="s">
        <v>15</v>
      </c>
      <c r="G5" s="53"/>
      <c r="H5" s="53"/>
      <c r="I5" s="12">
        <v>5</v>
      </c>
      <c r="J5" s="13"/>
      <c r="L5" s="1" t="s">
        <v>27</v>
      </c>
      <c r="N5">
        <v>120</v>
      </c>
      <c r="O5" s="2" t="s">
        <v>26</v>
      </c>
    </row>
    <row r="6" spans="2:15" ht="15.75" thickBot="1" x14ac:dyDescent="0.3">
      <c r="B6" s="14" t="s">
        <v>4</v>
      </c>
      <c r="C6" s="15">
        <v>10.55</v>
      </c>
      <c r="D6" s="16" t="s">
        <v>7</v>
      </c>
      <c r="F6" s="52" t="s">
        <v>16</v>
      </c>
      <c r="G6" s="53"/>
      <c r="H6" s="53"/>
      <c r="I6" s="12">
        <f>I5*C10</f>
        <v>600</v>
      </c>
      <c r="J6" s="13" t="s">
        <v>18</v>
      </c>
      <c r="L6" s="57" t="s">
        <v>28</v>
      </c>
      <c r="M6" s="56"/>
      <c r="N6">
        <v>2.1000000000000001E-4</v>
      </c>
      <c r="O6" s="2" t="s">
        <v>31</v>
      </c>
    </row>
    <row r="7" spans="2:15" ht="15.75" thickBot="1" x14ac:dyDescent="0.3">
      <c r="F7" s="52" t="s">
        <v>19</v>
      </c>
      <c r="G7" s="53"/>
      <c r="H7" s="53"/>
      <c r="I7" s="12">
        <v>90</v>
      </c>
      <c r="J7" s="13"/>
      <c r="L7" s="1" t="s">
        <v>29</v>
      </c>
      <c r="N7">
        <v>10</v>
      </c>
      <c r="O7" s="2" t="s">
        <v>26</v>
      </c>
    </row>
    <row r="8" spans="2:15" ht="15.75" thickBot="1" x14ac:dyDescent="0.3">
      <c r="B8" s="58" t="s">
        <v>9</v>
      </c>
      <c r="C8" s="59"/>
      <c r="D8" s="60"/>
      <c r="F8" s="52" t="s">
        <v>20</v>
      </c>
      <c r="G8" s="53"/>
      <c r="H8" s="53"/>
      <c r="I8" s="12">
        <v>15</v>
      </c>
      <c r="J8" s="13"/>
      <c r="L8" s="54" t="s">
        <v>30</v>
      </c>
      <c r="M8" s="55"/>
      <c r="N8" s="4">
        <v>2.3999999999999998E-3</v>
      </c>
      <c r="O8" s="5" t="s">
        <v>31</v>
      </c>
    </row>
    <row r="9" spans="2:15" ht="15.75" thickBot="1" x14ac:dyDescent="0.3">
      <c r="B9" s="11" t="s">
        <v>1</v>
      </c>
      <c r="C9" s="12" t="s">
        <v>17</v>
      </c>
      <c r="D9" s="13"/>
      <c r="F9" s="52" t="s">
        <v>21</v>
      </c>
      <c r="G9" s="53"/>
      <c r="H9" s="53"/>
      <c r="I9" s="12">
        <v>10.55</v>
      </c>
      <c r="J9" s="13" t="s">
        <v>7</v>
      </c>
    </row>
    <row r="10" spans="2:15" x14ac:dyDescent="0.25">
      <c r="B10" s="11" t="s">
        <v>2</v>
      </c>
      <c r="C10" s="12">
        <v>120</v>
      </c>
      <c r="D10" s="13" t="s">
        <v>18</v>
      </c>
      <c r="F10" s="52" t="s">
        <v>22</v>
      </c>
      <c r="G10" s="53"/>
      <c r="H10" s="53"/>
      <c r="I10" s="12">
        <f>C5*I8</f>
        <v>735</v>
      </c>
      <c r="J10" s="13" t="s">
        <v>6</v>
      </c>
      <c r="L10" s="49" t="s">
        <v>36</v>
      </c>
      <c r="M10" s="50"/>
      <c r="N10" s="50"/>
      <c r="O10" s="51"/>
    </row>
    <row r="11" spans="2:15" x14ac:dyDescent="0.25">
      <c r="B11" s="11" t="s">
        <v>10</v>
      </c>
      <c r="C11" s="12">
        <v>173.2</v>
      </c>
      <c r="D11" s="13" t="s">
        <v>7</v>
      </c>
      <c r="F11" s="52" t="s">
        <v>32</v>
      </c>
      <c r="G11" s="53"/>
      <c r="H11" s="53"/>
      <c r="I11" s="12">
        <v>15000</v>
      </c>
      <c r="J11" s="13" t="s">
        <v>6</v>
      </c>
      <c r="L11" s="1"/>
      <c r="M11" t="s">
        <v>66</v>
      </c>
      <c r="N11" t="s">
        <v>74</v>
      </c>
      <c r="O11" s="2" t="s">
        <v>37</v>
      </c>
    </row>
    <row r="12" spans="2:15" ht="15.75" thickBot="1" x14ac:dyDescent="0.3">
      <c r="B12" s="14" t="s">
        <v>11</v>
      </c>
      <c r="C12" s="15">
        <v>400</v>
      </c>
      <c r="D12" s="16" t="s">
        <v>6</v>
      </c>
      <c r="F12" s="52" t="s">
        <v>33</v>
      </c>
      <c r="G12" s="53"/>
      <c r="H12" s="53"/>
      <c r="I12" s="12">
        <v>400</v>
      </c>
      <c r="J12" s="13" t="s">
        <v>6</v>
      </c>
      <c r="L12" s="1" t="s">
        <v>70</v>
      </c>
      <c r="M12" t="s">
        <v>67</v>
      </c>
      <c r="N12" s="20">
        <f>F19</f>
        <v>4.2736552493206625</v>
      </c>
      <c r="O12" s="42">
        <f>F20</f>
        <v>5.7557646455497135E-3</v>
      </c>
    </row>
    <row r="13" spans="2:15" x14ac:dyDescent="0.25">
      <c r="F13" s="1" t="s">
        <v>34</v>
      </c>
      <c r="I13">
        <f>C11*5</f>
        <v>866</v>
      </c>
      <c r="J13" s="13" t="s">
        <v>7</v>
      </c>
      <c r="L13" s="1" t="s">
        <v>71</v>
      </c>
      <c r="M13" t="s">
        <v>68</v>
      </c>
      <c r="N13" s="34">
        <f>F21</f>
        <v>0.29951895315921179</v>
      </c>
      <c r="O13" s="42">
        <f>F22</f>
        <v>4.0339252950735596E-4</v>
      </c>
    </row>
    <row r="14" spans="2:15" ht="15.75" thickBot="1" x14ac:dyDescent="0.3">
      <c r="F14" s="54" t="s">
        <v>35</v>
      </c>
      <c r="G14" s="55"/>
      <c r="H14" s="55"/>
      <c r="I14" s="21">
        <f>I13*I12/I11</f>
        <v>23.093333333333334</v>
      </c>
      <c r="J14" s="16" t="s">
        <v>7</v>
      </c>
      <c r="L14" s="1" t="s">
        <v>72</v>
      </c>
      <c r="M14" t="s">
        <v>69</v>
      </c>
      <c r="N14" s="40">
        <f>F23</f>
        <v>4.7439480410198303E-3</v>
      </c>
      <c r="O14" s="42">
        <f>F24</f>
        <v>6.3891556108011181E-6</v>
      </c>
    </row>
    <row r="15" spans="2:15" ht="15.75" thickBot="1" x14ac:dyDescent="0.3">
      <c r="F15" s="56"/>
      <c r="G15" s="56"/>
      <c r="H15" s="56"/>
      <c r="L15" s="3"/>
      <c r="M15" s="4" t="s">
        <v>73</v>
      </c>
      <c r="N15" s="43">
        <f>N12+N13+N14</f>
        <v>4.5779181505208939</v>
      </c>
      <c r="O15" s="44">
        <f>O12+O13+O14</f>
        <v>6.1655463306678707E-3</v>
      </c>
    </row>
    <row r="17" spans="2:10" ht="15.75" thickBot="1" x14ac:dyDescent="0.3"/>
    <row r="18" spans="2:10" x14ac:dyDescent="0.25">
      <c r="B18" s="49" t="s">
        <v>38</v>
      </c>
      <c r="C18" s="50"/>
      <c r="D18" s="50"/>
      <c r="E18" s="50"/>
      <c r="F18" s="50"/>
      <c r="G18" s="51"/>
    </row>
    <row r="19" spans="2:10" x14ac:dyDescent="0.25">
      <c r="B19" s="1" t="s">
        <v>55</v>
      </c>
      <c r="C19" s="34">
        <f>AVERAGE(I33:I122)</f>
        <v>106.82415490960476</v>
      </c>
      <c r="D19" t="s">
        <v>51</v>
      </c>
      <c r="E19" t="s">
        <v>57</v>
      </c>
      <c r="F19" s="20">
        <f>C21*2*N4*I7*I9^2*0.6/1000</f>
        <v>4.2736552493206625</v>
      </c>
      <c r="G19" s="2" t="s">
        <v>18</v>
      </c>
    </row>
    <row r="20" spans="2:10" x14ac:dyDescent="0.25">
      <c r="B20" s="1" t="s">
        <v>56</v>
      </c>
      <c r="C20" s="34">
        <f>AVERAGE(J33:J122)</f>
        <v>102.30851843901613</v>
      </c>
      <c r="D20" t="s">
        <v>51</v>
      </c>
      <c r="E20" t="s">
        <v>58</v>
      </c>
      <c r="F20" s="38">
        <f>F19/I4</f>
        <v>5.7557646455497135E-3</v>
      </c>
      <c r="G20" s="2"/>
    </row>
    <row r="21" spans="2:10" x14ac:dyDescent="0.25">
      <c r="B21" s="1" t="s">
        <v>59</v>
      </c>
      <c r="C21" s="34">
        <f>AVERAGE(C19:C20)</f>
        <v>104.56633667431043</v>
      </c>
      <c r="D21" t="s">
        <v>51</v>
      </c>
      <c r="E21" t="s">
        <v>61</v>
      </c>
      <c r="F21" s="34">
        <f>3*N6*C11^2*C22*0.6*I5/1000</f>
        <v>0.29951895315921179</v>
      </c>
      <c r="G21" s="2" t="s">
        <v>18</v>
      </c>
    </row>
    <row r="22" spans="2:10" x14ac:dyDescent="0.25">
      <c r="B22" s="1" t="s">
        <v>60</v>
      </c>
      <c r="C22" s="34">
        <f>AVERAGE(SQRT((C26-C29)^2+(C27-C30)^2),SQRT((D26-C29)^2+(D27-C30)^2),SQRT((E26-C29)^2+(E27-C30)^2),SQRT((F26-C29)^2+(F27-C30)^2),SQRT((G26-C29)^2+(G27-C30)^2))</f>
        <v>5.2828311458330743</v>
      </c>
      <c r="E22" t="s">
        <v>62</v>
      </c>
      <c r="F22" s="38">
        <f>F21/I4</f>
        <v>4.0339252950735596E-4</v>
      </c>
      <c r="G22" s="2"/>
    </row>
    <row r="23" spans="2:10" x14ac:dyDescent="0.25">
      <c r="B23" s="1" t="s">
        <v>63</v>
      </c>
      <c r="C23" s="39">
        <f>SQRT((C29-D29)^2+(C30-D30)^2)</f>
        <v>2.0591260281974</v>
      </c>
      <c r="D23" t="s">
        <v>51</v>
      </c>
      <c r="E23" t="s">
        <v>64</v>
      </c>
      <c r="F23" s="40">
        <f>3*N8*I14^2*C23*0.6/1000</f>
        <v>4.7439480410198303E-3</v>
      </c>
      <c r="G23" s="2" t="s">
        <v>18</v>
      </c>
    </row>
    <row r="24" spans="2:10" ht="15.75" thickBot="1" x14ac:dyDescent="0.3">
      <c r="B24" s="3"/>
      <c r="C24" s="4"/>
      <c r="D24" s="4"/>
      <c r="E24" s="4" t="s">
        <v>65</v>
      </c>
      <c r="F24" s="41">
        <f>F23/I4</f>
        <v>6.3891556108011181E-6</v>
      </c>
      <c r="G24" s="5"/>
    </row>
    <row r="25" spans="2:10" x14ac:dyDescent="0.25">
      <c r="B25" s="6" t="s">
        <v>41</v>
      </c>
      <c r="C25" s="7" t="s">
        <v>42</v>
      </c>
      <c r="D25" s="7" t="s">
        <v>43</v>
      </c>
      <c r="E25" s="7" t="s">
        <v>44</v>
      </c>
      <c r="F25" s="7" t="s">
        <v>45</v>
      </c>
      <c r="G25" s="8" t="s">
        <v>46</v>
      </c>
    </row>
    <row r="26" spans="2:10" x14ac:dyDescent="0.25">
      <c r="B26" s="17" t="s">
        <v>40</v>
      </c>
      <c r="C26" s="23">
        <v>38</v>
      </c>
      <c r="D26" s="23">
        <v>39</v>
      </c>
      <c r="E26" s="23">
        <v>40</v>
      </c>
      <c r="F26" s="23">
        <v>41</v>
      </c>
      <c r="G26" s="24">
        <v>42</v>
      </c>
    </row>
    <row r="27" spans="2:10" ht="15.75" thickBot="1" x14ac:dyDescent="0.3">
      <c r="B27" s="18" t="s">
        <v>39</v>
      </c>
      <c r="C27" s="22">
        <v>10</v>
      </c>
      <c r="D27" s="22">
        <v>10</v>
      </c>
      <c r="E27" s="22">
        <v>10</v>
      </c>
      <c r="F27" s="22">
        <v>10</v>
      </c>
      <c r="G27" s="25">
        <v>10</v>
      </c>
    </row>
    <row r="28" spans="2:10" x14ac:dyDescent="0.25">
      <c r="B28" s="26" t="s">
        <v>41</v>
      </c>
      <c r="C28" s="30" t="s">
        <v>47</v>
      </c>
      <c r="D28" s="31" t="s">
        <v>48</v>
      </c>
    </row>
    <row r="29" spans="2:10" x14ac:dyDescent="0.25">
      <c r="B29" s="1" t="s">
        <v>40</v>
      </c>
      <c r="C29" s="23">
        <v>39</v>
      </c>
      <c r="D29" s="24">
        <v>38</v>
      </c>
    </row>
    <row r="30" spans="2:10" ht="15.75" thickBot="1" x14ac:dyDescent="0.3">
      <c r="B30" s="1" t="s">
        <v>39</v>
      </c>
      <c r="C30" s="23">
        <v>5</v>
      </c>
      <c r="D30" s="24">
        <v>3.2</v>
      </c>
    </row>
    <row r="31" spans="2:10" x14ac:dyDescent="0.25">
      <c r="B31" s="49" t="s">
        <v>49</v>
      </c>
      <c r="C31" s="50"/>
      <c r="D31" s="50" t="s">
        <v>50</v>
      </c>
      <c r="E31" s="51"/>
      <c r="F31" s="49" t="s">
        <v>52</v>
      </c>
      <c r="G31" s="50"/>
      <c r="H31" s="50"/>
      <c r="I31" s="50"/>
      <c r="J31" s="51"/>
    </row>
    <row r="32" spans="2:10" ht="30" x14ac:dyDescent="0.25">
      <c r="B32" s="28" t="s">
        <v>40</v>
      </c>
      <c r="C32" s="23" t="s">
        <v>39</v>
      </c>
      <c r="D32" s="23" t="s">
        <v>40</v>
      </c>
      <c r="E32" s="24" t="s">
        <v>39</v>
      </c>
      <c r="F32" s="28"/>
      <c r="G32" s="23" t="s">
        <v>40</v>
      </c>
      <c r="H32" s="23" t="s">
        <v>39</v>
      </c>
      <c r="I32" s="32" t="s">
        <v>53</v>
      </c>
      <c r="J32" s="33" t="s">
        <v>54</v>
      </c>
    </row>
    <row r="33" spans="1:10" x14ac:dyDescent="0.25">
      <c r="A33">
        <v>1</v>
      </c>
      <c r="B33" s="28">
        <v>10</v>
      </c>
      <c r="C33" s="23">
        <v>200</v>
      </c>
      <c r="D33">
        <v>26</v>
      </c>
      <c r="E33" s="24">
        <v>200</v>
      </c>
      <c r="F33" s="28">
        <v>5</v>
      </c>
      <c r="G33" s="34">
        <v>42</v>
      </c>
      <c r="H33" s="35">
        <v>10</v>
      </c>
      <c r="I33" s="20">
        <f>SQRT((B33-G33)^2+(C33-H33)^2)</f>
        <v>192.67589366602144</v>
      </c>
      <c r="J33" s="45">
        <f>SQRT((D33-G33)^2+(E33-H33)^2)</f>
        <v>190.67249408344142</v>
      </c>
    </row>
    <row r="34" spans="1:10" x14ac:dyDescent="0.25">
      <c r="A34">
        <v>2</v>
      </c>
      <c r="B34" s="28">
        <v>10</v>
      </c>
      <c r="C34" s="23">
        <v>198</v>
      </c>
      <c r="D34">
        <v>26</v>
      </c>
      <c r="E34" s="24">
        <v>198</v>
      </c>
      <c r="F34" s="28">
        <v>5</v>
      </c>
      <c r="G34" s="34">
        <v>42</v>
      </c>
      <c r="H34" s="35">
        <v>10</v>
      </c>
      <c r="I34" s="20">
        <f t="shared" ref="I34:I97" si="0">SQRT((B34-G34)^2+(C34-H34)^2)</f>
        <v>190.70395905696347</v>
      </c>
      <c r="J34" s="45">
        <f t="shared" ref="J34:J97" si="1">SQRT((D34-G34)^2+(E34-H34)^2)</f>
        <v>188.67962264113208</v>
      </c>
    </row>
    <row r="35" spans="1:10" x14ac:dyDescent="0.25">
      <c r="A35">
        <v>3</v>
      </c>
      <c r="B35" s="28">
        <v>10</v>
      </c>
      <c r="C35" s="23">
        <v>196</v>
      </c>
      <c r="D35">
        <v>26</v>
      </c>
      <c r="E35" s="24">
        <v>196</v>
      </c>
      <c r="F35" s="28">
        <v>5</v>
      </c>
      <c r="G35" s="34">
        <v>42</v>
      </c>
      <c r="H35" s="35">
        <v>10</v>
      </c>
      <c r="I35" s="20">
        <f t="shared" si="0"/>
        <v>188.73261509341728</v>
      </c>
      <c r="J35" s="45">
        <f t="shared" si="1"/>
        <v>186.68690366493306</v>
      </c>
    </row>
    <row r="36" spans="1:10" x14ac:dyDescent="0.25">
      <c r="A36">
        <v>4</v>
      </c>
      <c r="B36" s="28">
        <v>10</v>
      </c>
      <c r="C36" s="23">
        <v>194</v>
      </c>
      <c r="D36">
        <v>26</v>
      </c>
      <c r="E36" s="24">
        <v>194</v>
      </c>
      <c r="F36" s="28">
        <v>5</v>
      </c>
      <c r="G36" s="34">
        <v>42</v>
      </c>
      <c r="H36" s="35">
        <v>10</v>
      </c>
      <c r="I36" s="20">
        <f t="shared" si="0"/>
        <v>186.76188047886004</v>
      </c>
      <c r="J36" s="45">
        <f t="shared" si="1"/>
        <v>184.69434208984313</v>
      </c>
    </row>
    <row r="37" spans="1:10" x14ac:dyDescent="0.25">
      <c r="A37">
        <v>5</v>
      </c>
      <c r="B37" s="28">
        <v>10</v>
      </c>
      <c r="C37" s="23">
        <v>192</v>
      </c>
      <c r="D37">
        <v>26</v>
      </c>
      <c r="E37" s="24">
        <v>192</v>
      </c>
      <c r="F37" s="28">
        <v>5</v>
      </c>
      <c r="G37" s="34">
        <v>42</v>
      </c>
      <c r="H37" s="35">
        <v>10</v>
      </c>
      <c r="I37" s="20">
        <f t="shared" si="0"/>
        <v>184.79177470872452</v>
      </c>
      <c r="J37" s="45">
        <f t="shared" si="1"/>
        <v>182.70194306574848</v>
      </c>
    </row>
    <row r="38" spans="1:10" x14ac:dyDescent="0.25">
      <c r="A38">
        <v>6</v>
      </c>
      <c r="B38" s="28">
        <v>10</v>
      </c>
      <c r="C38" s="23">
        <v>190</v>
      </c>
      <c r="D38">
        <v>26</v>
      </c>
      <c r="E38" s="24">
        <v>190</v>
      </c>
      <c r="F38" s="28">
        <v>5</v>
      </c>
      <c r="G38" s="34">
        <v>42</v>
      </c>
      <c r="H38" s="35">
        <v>10</v>
      </c>
      <c r="I38" s="20">
        <f t="shared" si="0"/>
        <v>182.82231811242303</v>
      </c>
      <c r="J38" s="45">
        <f t="shared" si="1"/>
        <v>180.70971196922429</v>
      </c>
    </row>
    <row r="39" spans="1:10" x14ac:dyDescent="0.25">
      <c r="A39">
        <v>7</v>
      </c>
      <c r="B39" s="28">
        <v>10</v>
      </c>
      <c r="C39" s="23">
        <v>188</v>
      </c>
      <c r="D39">
        <v>26</v>
      </c>
      <c r="E39" s="24">
        <v>188</v>
      </c>
      <c r="F39" s="28">
        <v>5</v>
      </c>
      <c r="G39" s="34">
        <v>42</v>
      </c>
      <c r="H39" s="35">
        <v>10</v>
      </c>
      <c r="I39" s="20">
        <f t="shared" si="0"/>
        <v>180.85353189805281</v>
      </c>
      <c r="J39" s="45">
        <f t="shared" si="1"/>
        <v>178.71765441612084</v>
      </c>
    </row>
    <row r="40" spans="1:10" x14ac:dyDescent="0.25">
      <c r="A40">
        <v>8</v>
      </c>
      <c r="B40" s="28">
        <v>10</v>
      </c>
      <c r="C40" s="23">
        <v>186</v>
      </c>
      <c r="D40">
        <v>26</v>
      </c>
      <c r="E40" s="24">
        <v>186</v>
      </c>
      <c r="F40" s="28">
        <v>5</v>
      </c>
      <c r="G40" s="34">
        <v>42</v>
      </c>
      <c r="H40" s="35">
        <v>10</v>
      </c>
      <c r="I40" s="20">
        <f t="shared" si="0"/>
        <v>178.88543819998318</v>
      </c>
      <c r="J40" s="45">
        <f t="shared" si="1"/>
        <v>176.72577627499618</v>
      </c>
    </row>
    <row r="41" spans="1:10" x14ac:dyDescent="0.25">
      <c r="A41">
        <v>9</v>
      </c>
      <c r="B41" s="28">
        <v>10</v>
      </c>
      <c r="C41" s="23">
        <v>184</v>
      </c>
      <c r="D41">
        <v>26</v>
      </c>
      <c r="E41" s="24">
        <v>184</v>
      </c>
      <c r="F41" s="28">
        <v>5</v>
      </c>
      <c r="G41" s="34">
        <v>42</v>
      </c>
      <c r="H41" s="35">
        <v>10</v>
      </c>
      <c r="I41" s="20">
        <f t="shared" si="0"/>
        <v>176.91806012954132</v>
      </c>
      <c r="J41" s="45">
        <f t="shared" si="1"/>
        <v>174.73408368146153</v>
      </c>
    </row>
    <row r="42" spans="1:10" x14ac:dyDescent="0.25">
      <c r="A42">
        <v>10</v>
      </c>
      <c r="B42" s="28">
        <v>10</v>
      </c>
      <c r="C42" s="23">
        <v>182</v>
      </c>
      <c r="D42">
        <v>26</v>
      </c>
      <c r="E42" s="24">
        <v>182</v>
      </c>
      <c r="F42" s="28">
        <v>5</v>
      </c>
      <c r="G42" s="34">
        <v>42</v>
      </c>
      <c r="H42" s="35">
        <v>10</v>
      </c>
      <c r="I42" s="20">
        <f t="shared" si="0"/>
        <v>174.95142182903231</v>
      </c>
      <c r="J42" s="45">
        <f t="shared" si="1"/>
        <v>172.74258305351347</v>
      </c>
    </row>
    <row r="43" spans="1:10" x14ac:dyDescent="0.25">
      <c r="A43">
        <v>11</v>
      </c>
      <c r="B43" s="28">
        <v>10</v>
      </c>
      <c r="C43" s="23">
        <v>180</v>
      </c>
      <c r="D43">
        <v>26</v>
      </c>
      <c r="E43" s="24">
        <v>180</v>
      </c>
      <c r="F43" s="28">
        <v>5</v>
      </c>
      <c r="G43" s="34">
        <v>42</v>
      </c>
      <c r="H43" s="35">
        <v>10</v>
      </c>
      <c r="I43" s="20">
        <f t="shared" si="0"/>
        <v>172.9855485293497</v>
      </c>
      <c r="J43" s="45">
        <f t="shared" si="1"/>
        <v>170.75128110793196</v>
      </c>
    </row>
    <row r="44" spans="1:10" x14ac:dyDescent="0.25">
      <c r="A44">
        <v>12</v>
      </c>
      <c r="B44" s="28">
        <v>10</v>
      </c>
      <c r="C44" s="23">
        <v>178</v>
      </c>
      <c r="D44">
        <v>26</v>
      </c>
      <c r="E44" s="24">
        <v>178</v>
      </c>
      <c r="F44" s="28">
        <v>5</v>
      </c>
      <c r="G44" s="34">
        <v>42</v>
      </c>
      <c r="H44" s="35">
        <v>10</v>
      </c>
      <c r="I44" s="20">
        <f t="shared" si="0"/>
        <v>171.02046661145559</v>
      </c>
      <c r="J44" s="45">
        <f t="shared" si="1"/>
        <v>168.7601848778319</v>
      </c>
    </row>
    <row r="45" spans="1:10" x14ac:dyDescent="0.25">
      <c r="A45">
        <v>13</v>
      </c>
      <c r="B45" s="28">
        <v>10</v>
      </c>
      <c r="C45" s="23">
        <v>176</v>
      </c>
      <c r="D45">
        <v>26</v>
      </c>
      <c r="E45" s="24">
        <v>176</v>
      </c>
      <c r="F45" s="28">
        <v>5</v>
      </c>
      <c r="G45" s="34">
        <v>42</v>
      </c>
      <c r="H45" s="35">
        <v>10</v>
      </c>
      <c r="I45" s="20">
        <f t="shared" si="0"/>
        <v>169.05620367203329</v>
      </c>
      <c r="J45" s="45">
        <f t="shared" si="1"/>
        <v>166.76930173146374</v>
      </c>
    </row>
    <row r="46" spans="1:10" x14ac:dyDescent="0.25">
      <c r="A46">
        <v>14</v>
      </c>
      <c r="B46" s="28">
        <v>10</v>
      </c>
      <c r="C46" s="23">
        <v>174</v>
      </c>
      <c r="D46">
        <v>26</v>
      </c>
      <c r="E46" s="24">
        <v>174</v>
      </c>
      <c r="F46" s="28">
        <v>5</v>
      </c>
      <c r="G46" s="34">
        <v>42</v>
      </c>
      <c r="H46" s="35">
        <v>10</v>
      </c>
      <c r="I46" s="20">
        <f t="shared" si="0"/>
        <v>167.09278859364338</v>
      </c>
      <c r="J46" s="45">
        <f t="shared" si="1"/>
        <v>164.77863939236784</v>
      </c>
    </row>
    <row r="47" spans="1:10" x14ac:dyDescent="0.25">
      <c r="A47">
        <v>15</v>
      </c>
      <c r="B47" s="28">
        <v>10</v>
      </c>
      <c r="C47" s="23">
        <v>172</v>
      </c>
      <c r="D47">
        <v>26</v>
      </c>
      <c r="E47" s="24">
        <v>172</v>
      </c>
      <c r="F47" s="28">
        <v>5</v>
      </c>
      <c r="G47" s="34">
        <v>42</v>
      </c>
      <c r="H47" s="35">
        <v>10</v>
      </c>
      <c r="I47" s="20">
        <f t="shared" si="0"/>
        <v>165.13025161974412</v>
      </c>
      <c r="J47" s="45">
        <f t="shared" si="1"/>
        <v>162.78820596099706</v>
      </c>
    </row>
    <row r="48" spans="1:10" x14ac:dyDescent="0.25">
      <c r="A48">
        <v>16</v>
      </c>
      <c r="B48" s="28">
        <v>10</v>
      </c>
      <c r="C48" s="23">
        <v>170</v>
      </c>
      <c r="D48">
        <v>26</v>
      </c>
      <c r="E48" s="24">
        <v>170</v>
      </c>
      <c r="F48" s="28">
        <v>5</v>
      </c>
      <c r="G48" s="34">
        <v>42</v>
      </c>
      <c r="H48" s="35">
        <v>10</v>
      </c>
      <c r="I48" s="20">
        <f t="shared" si="0"/>
        <v>163.1686244349691</v>
      </c>
      <c r="J48" s="45">
        <f t="shared" si="1"/>
        <v>160.79800993793424</v>
      </c>
    </row>
    <row r="49" spans="1:10" x14ac:dyDescent="0.25">
      <c r="A49">
        <v>17</v>
      </c>
      <c r="B49" s="28">
        <v>10</v>
      </c>
      <c r="C49" s="23">
        <v>168</v>
      </c>
      <c r="D49">
        <v>26</v>
      </c>
      <c r="E49" s="24">
        <v>168</v>
      </c>
      <c r="F49" s="28">
        <v>5</v>
      </c>
      <c r="G49" s="34">
        <v>42</v>
      </c>
      <c r="H49" s="35">
        <v>10</v>
      </c>
      <c r="I49" s="20">
        <f t="shared" si="0"/>
        <v>161.20794025109308</v>
      </c>
      <c r="J49" s="45">
        <f t="shared" si="1"/>
        <v>158.80806024884254</v>
      </c>
    </row>
    <row r="50" spans="1:10" x14ac:dyDescent="0.25">
      <c r="A50">
        <v>18</v>
      </c>
      <c r="B50" s="28">
        <v>10</v>
      </c>
      <c r="C50" s="23">
        <v>166</v>
      </c>
      <c r="D50">
        <v>26</v>
      </c>
      <c r="E50" s="24">
        <v>166</v>
      </c>
      <c r="F50" s="28">
        <v>4</v>
      </c>
      <c r="G50" s="34">
        <v>42</v>
      </c>
      <c r="H50" s="35">
        <v>10</v>
      </c>
      <c r="I50" s="20">
        <f t="shared" si="0"/>
        <v>159.24823389915505</v>
      </c>
      <c r="J50" s="45">
        <f t="shared" si="1"/>
        <v>156.81836627130127</v>
      </c>
    </row>
    <row r="51" spans="1:10" x14ac:dyDescent="0.25">
      <c r="A51">
        <v>19</v>
      </c>
      <c r="B51" s="28">
        <v>10</v>
      </c>
      <c r="C51" s="23">
        <v>164</v>
      </c>
      <c r="D51">
        <v>26</v>
      </c>
      <c r="E51" s="24">
        <v>164</v>
      </c>
      <c r="F51" s="28">
        <v>4</v>
      </c>
      <c r="G51" s="34">
        <v>41</v>
      </c>
      <c r="H51" s="35">
        <v>10</v>
      </c>
      <c r="I51" s="20">
        <f t="shared" si="0"/>
        <v>157.08914666519772</v>
      </c>
      <c r="J51" s="45">
        <f t="shared" si="1"/>
        <v>154.72879499304582</v>
      </c>
    </row>
    <row r="52" spans="1:10" x14ac:dyDescent="0.25">
      <c r="A52">
        <v>20</v>
      </c>
      <c r="B52" s="28">
        <v>10</v>
      </c>
      <c r="C52" s="23">
        <v>162</v>
      </c>
      <c r="D52">
        <v>26</v>
      </c>
      <c r="E52" s="24">
        <v>162</v>
      </c>
      <c r="F52" s="28">
        <v>4</v>
      </c>
      <c r="G52" s="34">
        <v>41</v>
      </c>
      <c r="H52" s="35">
        <v>10</v>
      </c>
      <c r="I52" s="20">
        <f t="shared" si="0"/>
        <v>155.12897859523216</v>
      </c>
      <c r="J52" s="45">
        <f t="shared" si="1"/>
        <v>152.73833834371774</v>
      </c>
    </row>
    <row r="53" spans="1:10" x14ac:dyDescent="0.25">
      <c r="A53">
        <v>21</v>
      </c>
      <c r="B53" s="28">
        <v>10</v>
      </c>
      <c r="C53" s="23">
        <v>160</v>
      </c>
      <c r="D53">
        <v>26</v>
      </c>
      <c r="E53" s="24">
        <v>160</v>
      </c>
      <c r="F53" s="28">
        <v>4</v>
      </c>
      <c r="G53" s="34">
        <v>41</v>
      </c>
      <c r="H53" s="35">
        <v>10</v>
      </c>
      <c r="I53" s="20">
        <f t="shared" si="0"/>
        <v>153.16984037335808</v>
      </c>
      <c r="J53" s="45">
        <f t="shared" si="1"/>
        <v>150.74813431681335</v>
      </c>
    </row>
    <row r="54" spans="1:10" x14ac:dyDescent="0.25">
      <c r="A54">
        <v>22</v>
      </c>
      <c r="B54" s="28">
        <v>10</v>
      </c>
      <c r="C54" s="23">
        <v>158</v>
      </c>
      <c r="D54">
        <v>26</v>
      </c>
      <c r="E54" s="24">
        <v>158</v>
      </c>
      <c r="F54" s="28">
        <v>4</v>
      </c>
      <c r="G54" s="34">
        <v>41</v>
      </c>
      <c r="H54" s="35">
        <v>10</v>
      </c>
      <c r="I54" s="20">
        <f t="shared" si="0"/>
        <v>151.21177202850313</v>
      </c>
      <c r="J54" s="45">
        <f t="shared" si="1"/>
        <v>148.75819305167698</v>
      </c>
    </row>
    <row r="55" spans="1:10" x14ac:dyDescent="0.25">
      <c r="A55">
        <v>23</v>
      </c>
      <c r="B55" s="28">
        <v>10</v>
      </c>
      <c r="C55" s="23">
        <v>156</v>
      </c>
      <c r="D55">
        <v>26</v>
      </c>
      <c r="E55" s="24">
        <v>156</v>
      </c>
      <c r="F55" s="28">
        <v>4</v>
      </c>
      <c r="G55" s="34">
        <v>41</v>
      </c>
      <c r="H55" s="35">
        <v>10</v>
      </c>
      <c r="I55" s="20">
        <f t="shared" si="0"/>
        <v>149.25481566770299</v>
      </c>
      <c r="J55" s="45">
        <f t="shared" si="1"/>
        <v>146.76852523616907</v>
      </c>
    </row>
    <row r="56" spans="1:10" x14ac:dyDescent="0.25">
      <c r="A56">
        <v>24</v>
      </c>
      <c r="B56" s="28">
        <v>10</v>
      </c>
      <c r="C56" s="23">
        <v>154</v>
      </c>
      <c r="D56">
        <v>26</v>
      </c>
      <c r="E56" s="24">
        <v>154</v>
      </c>
      <c r="F56" s="28">
        <v>4</v>
      </c>
      <c r="G56" s="34">
        <v>41</v>
      </c>
      <c r="H56" s="35">
        <v>10</v>
      </c>
      <c r="I56" s="20">
        <f t="shared" si="0"/>
        <v>147.29901561110313</v>
      </c>
      <c r="J56" s="45">
        <f t="shared" si="1"/>
        <v>144.77914214416384</v>
      </c>
    </row>
    <row r="57" spans="1:10" x14ac:dyDescent="0.25">
      <c r="A57">
        <v>25</v>
      </c>
      <c r="B57" s="28">
        <v>10</v>
      </c>
      <c r="C57" s="23">
        <v>152</v>
      </c>
      <c r="D57">
        <v>26</v>
      </c>
      <c r="E57" s="24">
        <v>152</v>
      </c>
      <c r="F57" s="28">
        <v>4</v>
      </c>
      <c r="G57" s="34">
        <v>41</v>
      </c>
      <c r="H57" s="35">
        <v>10</v>
      </c>
      <c r="I57" s="20">
        <f t="shared" si="0"/>
        <v>145.34441853748632</v>
      </c>
      <c r="J57" s="45">
        <f t="shared" si="1"/>
        <v>142.79005567615695</v>
      </c>
    </row>
    <row r="58" spans="1:10" x14ac:dyDescent="0.25">
      <c r="A58">
        <v>26</v>
      </c>
      <c r="B58" s="28">
        <v>10</v>
      </c>
      <c r="C58" s="23">
        <v>150</v>
      </c>
      <c r="D58">
        <v>26</v>
      </c>
      <c r="E58" s="24">
        <v>150</v>
      </c>
      <c r="F58" s="28">
        <v>4</v>
      </c>
      <c r="G58" s="34">
        <v>41</v>
      </c>
      <c r="H58" s="35">
        <v>10</v>
      </c>
      <c r="I58" s="20">
        <f t="shared" si="0"/>
        <v>143.39107364128355</v>
      </c>
      <c r="J58" s="45">
        <f t="shared" si="1"/>
        <v>140.80127840328723</v>
      </c>
    </row>
    <row r="59" spans="1:10" x14ac:dyDescent="0.25">
      <c r="A59">
        <v>27</v>
      </c>
      <c r="B59" s="28">
        <v>10</v>
      </c>
      <c r="C59" s="23">
        <v>148</v>
      </c>
      <c r="D59">
        <v>26</v>
      </c>
      <c r="E59" s="24">
        <v>148</v>
      </c>
      <c r="F59" s="28">
        <v>4</v>
      </c>
      <c r="G59" s="34">
        <v>41</v>
      </c>
      <c r="H59" s="35">
        <v>10</v>
      </c>
      <c r="I59" s="20">
        <f t="shared" si="0"/>
        <v>141.43903280212291</v>
      </c>
      <c r="J59" s="45">
        <f t="shared" si="1"/>
        <v>138.81282361511128</v>
      </c>
    </row>
    <row r="60" spans="1:10" x14ac:dyDescent="0.25">
      <c r="A60">
        <v>28</v>
      </c>
      <c r="B60" s="28">
        <v>10</v>
      </c>
      <c r="C60" s="23">
        <v>146</v>
      </c>
      <c r="D60">
        <v>26</v>
      </c>
      <c r="E60" s="24">
        <v>146</v>
      </c>
      <c r="F60" s="28">
        <v>4</v>
      </c>
      <c r="G60" s="34">
        <v>41</v>
      </c>
      <c r="H60" s="35">
        <v>10</v>
      </c>
      <c r="I60" s="20">
        <f t="shared" si="0"/>
        <v>139.48835076808385</v>
      </c>
      <c r="J60" s="45">
        <f t="shared" si="1"/>
        <v>136.82470537150812</v>
      </c>
    </row>
    <row r="61" spans="1:10" x14ac:dyDescent="0.25">
      <c r="A61">
        <v>29</v>
      </c>
      <c r="B61" s="28">
        <v>10</v>
      </c>
      <c r="C61" s="23">
        <v>144</v>
      </c>
      <c r="D61">
        <v>26</v>
      </c>
      <c r="E61" s="24">
        <v>144</v>
      </c>
      <c r="F61" s="28">
        <v>4</v>
      </c>
      <c r="G61" s="34">
        <v>41</v>
      </c>
      <c r="H61" s="35">
        <v>10</v>
      </c>
      <c r="I61" s="20">
        <f t="shared" si="0"/>
        <v>137.53908535394584</v>
      </c>
      <c r="J61" s="45">
        <f t="shared" si="1"/>
        <v>134.83693855913521</v>
      </c>
    </row>
    <row r="62" spans="1:10" x14ac:dyDescent="0.25">
      <c r="A62">
        <v>30</v>
      </c>
      <c r="B62" s="28">
        <v>10</v>
      </c>
      <c r="C62" s="23">
        <v>142</v>
      </c>
      <c r="D62">
        <v>26</v>
      </c>
      <c r="E62" s="24">
        <v>142</v>
      </c>
      <c r="F62" s="28">
        <v>4</v>
      </c>
      <c r="G62" s="34">
        <v>41</v>
      </c>
      <c r="H62" s="35">
        <v>10</v>
      </c>
      <c r="I62" s="20">
        <f t="shared" si="0"/>
        <v>135.5912976558599</v>
      </c>
      <c r="J62" s="45">
        <f t="shared" si="1"/>
        <v>132.84953895290718</v>
      </c>
    </row>
    <row r="63" spans="1:10" x14ac:dyDescent="0.25">
      <c r="A63">
        <v>31</v>
      </c>
      <c r="B63" s="28">
        <v>10</v>
      </c>
      <c r="C63" s="23">
        <v>140</v>
      </c>
      <c r="D63">
        <v>26</v>
      </c>
      <c r="E63" s="24">
        <v>140</v>
      </c>
      <c r="F63" s="28">
        <v>4</v>
      </c>
      <c r="G63" s="34">
        <v>41</v>
      </c>
      <c r="H63" s="35">
        <v>10</v>
      </c>
      <c r="I63" s="20">
        <f t="shared" si="0"/>
        <v>133.64505228402584</v>
      </c>
      <c r="J63" s="45">
        <f t="shared" si="1"/>
        <v>130.86252328302402</v>
      </c>
    </row>
    <row r="64" spans="1:10" x14ac:dyDescent="0.25">
      <c r="A64">
        <v>32</v>
      </c>
      <c r="B64" s="28">
        <v>10</v>
      </c>
      <c r="C64" s="23">
        <v>138</v>
      </c>
      <c r="D64">
        <v>26</v>
      </c>
      <c r="E64" s="24">
        <v>138</v>
      </c>
      <c r="F64" s="28">
        <v>4</v>
      </c>
      <c r="G64" s="34">
        <v>41</v>
      </c>
      <c r="H64" s="35">
        <v>10</v>
      </c>
      <c r="I64" s="20">
        <f t="shared" si="0"/>
        <v>131.70041761513136</v>
      </c>
      <c r="J64" s="45">
        <f t="shared" si="1"/>
        <v>128.87590930814028</v>
      </c>
    </row>
    <row r="65" spans="1:10" x14ac:dyDescent="0.25">
      <c r="A65">
        <v>33</v>
      </c>
      <c r="B65" s="28">
        <v>10</v>
      </c>
      <c r="C65" s="23">
        <v>136</v>
      </c>
      <c r="D65">
        <v>26</v>
      </c>
      <c r="E65" s="24">
        <v>136</v>
      </c>
      <c r="F65" s="28">
        <v>4</v>
      </c>
      <c r="G65" s="34">
        <v>41</v>
      </c>
      <c r="H65" s="35">
        <v>10</v>
      </c>
      <c r="I65" s="20">
        <f t="shared" si="0"/>
        <v>129.75746606650424</v>
      </c>
      <c r="J65" s="45">
        <f t="shared" si="1"/>
        <v>126.88971589533961</v>
      </c>
    </row>
    <row r="66" spans="1:10" x14ac:dyDescent="0.25">
      <c r="A66">
        <v>34</v>
      </c>
      <c r="B66" s="28">
        <v>10</v>
      </c>
      <c r="C66" s="23">
        <v>134</v>
      </c>
      <c r="D66">
        <v>26</v>
      </c>
      <c r="E66" s="24">
        <v>134</v>
      </c>
      <c r="F66" s="28">
        <v>4</v>
      </c>
      <c r="G66" s="34">
        <v>41</v>
      </c>
      <c r="H66" s="35">
        <v>10</v>
      </c>
      <c r="I66" s="20">
        <f t="shared" si="0"/>
        <v>127.81627439414747</v>
      </c>
      <c r="J66" s="45">
        <f t="shared" si="1"/>
        <v>124.90396310766124</v>
      </c>
    </row>
    <row r="67" spans="1:10" x14ac:dyDescent="0.25">
      <c r="A67">
        <v>35</v>
      </c>
      <c r="B67" s="28">
        <v>10</v>
      </c>
      <c r="C67" s="23">
        <v>132</v>
      </c>
      <c r="D67">
        <v>26</v>
      </c>
      <c r="E67" s="24">
        <v>132</v>
      </c>
      <c r="F67" s="28">
        <v>4</v>
      </c>
      <c r="G67" s="34">
        <v>41</v>
      </c>
      <c r="H67" s="35">
        <v>10</v>
      </c>
      <c r="I67" s="20">
        <f t="shared" si="0"/>
        <v>125.87692401707312</v>
      </c>
      <c r="J67" s="45">
        <f t="shared" si="1"/>
        <v>122.9186723000212</v>
      </c>
    </row>
    <row r="68" spans="1:10" x14ac:dyDescent="0.25">
      <c r="A68">
        <v>36</v>
      </c>
      <c r="B68" s="28">
        <v>10</v>
      </c>
      <c r="C68" s="23">
        <v>130</v>
      </c>
      <c r="D68">
        <v>26</v>
      </c>
      <c r="E68" s="24">
        <v>130</v>
      </c>
      <c r="F68" s="28">
        <v>4</v>
      </c>
      <c r="G68" s="34">
        <v>41</v>
      </c>
      <c r="H68" s="35">
        <v>10</v>
      </c>
      <c r="I68" s="20">
        <f t="shared" si="0"/>
        <v>123.93950137062841</v>
      </c>
      <c r="J68" s="45">
        <f t="shared" si="1"/>
        <v>120.93386622447825</v>
      </c>
    </row>
    <row r="69" spans="1:10" x14ac:dyDescent="0.25">
      <c r="A69">
        <v>37</v>
      </c>
      <c r="B69" s="28">
        <v>10</v>
      </c>
      <c r="C69" s="23">
        <v>128</v>
      </c>
      <c r="D69">
        <v>26</v>
      </c>
      <c r="E69" s="24">
        <v>128</v>
      </c>
      <c r="F69" s="28">
        <v>3</v>
      </c>
      <c r="G69" s="34">
        <v>40</v>
      </c>
      <c r="H69" s="35">
        <v>10</v>
      </c>
      <c r="I69" s="20">
        <f t="shared" si="0"/>
        <v>121.75385004179539</v>
      </c>
      <c r="J69" s="45">
        <f t="shared" si="1"/>
        <v>118.82760622010359</v>
      </c>
    </row>
    <row r="70" spans="1:10" x14ac:dyDescent="0.25">
      <c r="A70">
        <v>38</v>
      </c>
      <c r="B70" s="28">
        <v>10</v>
      </c>
      <c r="C70" s="23">
        <v>126</v>
      </c>
      <c r="D70">
        <v>26</v>
      </c>
      <c r="E70" s="24">
        <v>126</v>
      </c>
      <c r="F70" s="28">
        <v>3</v>
      </c>
      <c r="G70" s="34">
        <v>40</v>
      </c>
      <c r="H70" s="35">
        <v>10</v>
      </c>
      <c r="I70" s="20">
        <f t="shared" si="0"/>
        <v>119.81652640600127</v>
      </c>
      <c r="J70" s="45">
        <f t="shared" si="1"/>
        <v>116.84177335182824</v>
      </c>
    </row>
    <row r="71" spans="1:10" x14ac:dyDescent="0.25">
      <c r="A71">
        <v>39</v>
      </c>
      <c r="B71" s="28">
        <v>10</v>
      </c>
      <c r="C71" s="23">
        <v>124</v>
      </c>
      <c r="D71">
        <v>26</v>
      </c>
      <c r="E71" s="24">
        <v>124</v>
      </c>
      <c r="F71" s="28">
        <v>3</v>
      </c>
      <c r="G71" s="34">
        <v>40</v>
      </c>
      <c r="H71" s="35">
        <v>10</v>
      </c>
      <c r="I71" s="20">
        <f t="shared" si="0"/>
        <v>117.881296226331</v>
      </c>
      <c r="J71" s="45">
        <f t="shared" si="1"/>
        <v>114.85643212288984</v>
      </c>
    </row>
    <row r="72" spans="1:10" x14ac:dyDescent="0.25">
      <c r="A72">
        <v>40</v>
      </c>
      <c r="B72" s="28">
        <v>10</v>
      </c>
      <c r="C72" s="23">
        <v>122</v>
      </c>
      <c r="D72">
        <v>26</v>
      </c>
      <c r="E72" s="24">
        <v>122</v>
      </c>
      <c r="F72" s="28">
        <v>3</v>
      </c>
      <c r="G72" s="34">
        <v>40</v>
      </c>
      <c r="H72" s="35">
        <v>10</v>
      </c>
      <c r="I72" s="20">
        <f t="shared" si="0"/>
        <v>115.94826432508596</v>
      </c>
      <c r="J72" s="45">
        <f t="shared" si="1"/>
        <v>112.8716084761797</v>
      </c>
    </row>
    <row r="73" spans="1:10" x14ac:dyDescent="0.25">
      <c r="A73">
        <v>41</v>
      </c>
      <c r="B73" s="28">
        <v>10</v>
      </c>
      <c r="C73" s="23">
        <v>120</v>
      </c>
      <c r="D73">
        <v>26</v>
      </c>
      <c r="E73" s="24">
        <v>120</v>
      </c>
      <c r="F73" s="28">
        <v>3</v>
      </c>
      <c r="G73" s="34">
        <v>40</v>
      </c>
      <c r="H73" s="35">
        <v>10</v>
      </c>
      <c r="I73" s="20">
        <f t="shared" si="0"/>
        <v>114.0175425099138</v>
      </c>
      <c r="J73" s="45">
        <f t="shared" si="1"/>
        <v>110.8873302050329</v>
      </c>
    </row>
    <row r="74" spans="1:10" x14ac:dyDescent="0.25">
      <c r="A74">
        <v>42</v>
      </c>
      <c r="B74" s="28">
        <v>10</v>
      </c>
      <c r="C74" s="23">
        <v>118</v>
      </c>
      <c r="D74">
        <v>26</v>
      </c>
      <c r="E74" s="24">
        <v>118</v>
      </c>
      <c r="F74" s="28">
        <v>3</v>
      </c>
      <c r="G74" s="34">
        <v>40</v>
      </c>
      <c r="H74" s="35">
        <v>10</v>
      </c>
      <c r="I74" s="20">
        <f t="shared" si="0"/>
        <v>112.08925015361643</v>
      </c>
      <c r="J74" s="45">
        <f t="shared" si="1"/>
        <v>108.90362712049586</v>
      </c>
    </row>
    <row r="75" spans="1:10" x14ac:dyDescent="0.25">
      <c r="A75">
        <v>43</v>
      </c>
      <c r="B75" s="28">
        <v>10</v>
      </c>
      <c r="C75" s="23">
        <v>116</v>
      </c>
      <c r="D75">
        <v>26</v>
      </c>
      <c r="E75" s="24">
        <v>116</v>
      </c>
      <c r="F75" s="28">
        <v>3</v>
      </c>
      <c r="G75" s="34">
        <v>40</v>
      </c>
      <c r="H75" s="35">
        <v>10</v>
      </c>
      <c r="I75" s="20">
        <f t="shared" si="0"/>
        <v>110.16351483136329</v>
      </c>
      <c r="J75" s="45">
        <f t="shared" si="1"/>
        <v>106.92053123698928</v>
      </c>
    </row>
    <row r="76" spans="1:10" x14ac:dyDescent="0.25">
      <c r="A76">
        <v>44</v>
      </c>
      <c r="B76" s="28">
        <v>10</v>
      </c>
      <c r="C76" s="23">
        <v>114</v>
      </c>
      <c r="D76">
        <v>26</v>
      </c>
      <c r="E76" s="24">
        <v>114</v>
      </c>
      <c r="F76" s="28">
        <v>3</v>
      </c>
      <c r="G76" s="34">
        <v>40</v>
      </c>
      <c r="H76" s="35">
        <v>10</v>
      </c>
      <c r="I76" s="20">
        <f t="shared" si="0"/>
        <v>108.24047302187847</v>
      </c>
      <c r="J76" s="45">
        <f t="shared" si="1"/>
        <v>104.93807697875924</v>
      </c>
    </row>
    <row r="77" spans="1:10" x14ac:dyDescent="0.25">
      <c r="A77">
        <v>45</v>
      </c>
      <c r="B77" s="28">
        <v>10</v>
      </c>
      <c r="C77" s="23">
        <v>112</v>
      </c>
      <c r="D77">
        <v>26</v>
      </c>
      <c r="E77" s="24">
        <v>112</v>
      </c>
      <c r="F77" s="28">
        <v>3</v>
      </c>
      <c r="G77" s="34">
        <v>40</v>
      </c>
      <c r="H77" s="35">
        <v>10</v>
      </c>
      <c r="I77" s="20">
        <f t="shared" si="0"/>
        <v>106.3202708800161</v>
      </c>
      <c r="J77" s="45">
        <f t="shared" si="1"/>
        <v>102.95630140987001</v>
      </c>
    </row>
    <row r="78" spans="1:10" x14ac:dyDescent="0.25">
      <c r="A78">
        <v>46</v>
      </c>
      <c r="B78" s="28">
        <v>10</v>
      </c>
      <c r="C78" s="23">
        <v>110</v>
      </c>
      <c r="D78">
        <v>26</v>
      </c>
      <c r="E78" s="24">
        <v>110</v>
      </c>
      <c r="F78" s="28">
        <v>3</v>
      </c>
      <c r="G78" s="34">
        <v>40</v>
      </c>
      <c r="H78" s="35">
        <v>10</v>
      </c>
      <c r="I78" s="20">
        <f t="shared" si="0"/>
        <v>104.4030650891055</v>
      </c>
      <c r="J78" s="45">
        <f t="shared" si="1"/>
        <v>100.9752444909147</v>
      </c>
    </row>
    <row r="79" spans="1:10" x14ac:dyDescent="0.25">
      <c r="A79">
        <v>47</v>
      </c>
      <c r="B79" s="28">
        <v>10</v>
      </c>
      <c r="C79" s="23">
        <v>108</v>
      </c>
      <c r="D79">
        <v>26</v>
      </c>
      <c r="E79" s="24">
        <v>108</v>
      </c>
      <c r="F79" s="28">
        <v>3</v>
      </c>
      <c r="G79" s="34">
        <v>40</v>
      </c>
      <c r="H79" s="35">
        <v>10</v>
      </c>
      <c r="I79" s="20">
        <f t="shared" si="0"/>
        <v>102.48902380255166</v>
      </c>
      <c r="J79" s="45">
        <f t="shared" si="1"/>
        <v>98.994949366116657</v>
      </c>
    </row>
    <row r="80" spans="1:10" x14ac:dyDescent="0.25">
      <c r="A80">
        <v>48</v>
      </c>
      <c r="B80" s="28">
        <v>10</v>
      </c>
      <c r="C80" s="23">
        <v>106</v>
      </c>
      <c r="D80">
        <v>26</v>
      </c>
      <c r="E80" s="24">
        <v>106</v>
      </c>
      <c r="F80" s="28">
        <v>3</v>
      </c>
      <c r="G80" s="34">
        <v>40</v>
      </c>
      <c r="H80" s="35">
        <v>10</v>
      </c>
      <c r="I80" s="20">
        <f t="shared" si="0"/>
        <v>100.57832768544127</v>
      </c>
      <c r="J80" s="45">
        <f t="shared" si="1"/>
        <v>97.015462685079228</v>
      </c>
    </row>
    <row r="81" spans="1:10" x14ac:dyDescent="0.25">
      <c r="A81">
        <v>49</v>
      </c>
      <c r="B81" s="28">
        <v>10</v>
      </c>
      <c r="C81" s="23">
        <v>104</v>
      </c>
      <c r="D81">
        <v>26</v>
      </c>
      <c r="E81" s="24">
        <v>104</v>
      </c>
      <c r="F81" s="28">
        <v>3</v>
      </c>
      <c r="G81" s="34">
        <v>40</v>
      </c>
      <c r="H81" s="35">
        <v>10</v>
      </c>
      <c r="I81" s="20">
        <f t="shared" si="0"/>
        <v>98.671171068352081</v>
      </c>
      <c r="J81" s="45">
        <f t="shared" si="1"/>
        <v>95.036834964133774</v>
      </c>
    </row>
    <row r="82" spans="1:10" x14ac:dyDescent="0.25">
      <c r="A82">
        <v>50</v>
      </c>
      <c r="B82" s="28">
        <v>10</v>
      </c>
      <c r="C82" s="23">
        <v>102</v>
      </c>
      <c r="D82">
        <v>26</v>
      </c>
      <c r="E82" s="24">
        <v>102</v>
      </c>
      <c r="F82" s="28">
        <v>3</v>
      </c>
      <c r="G82" s="34">
        <v>40</v>
      </c>
      <c r="H82" s="35">
        <v>10</v>
      </c>
      <c r="I82" s="20">
        <f t="shared" si="0"/>
        <v>96.767763227223554</v>
      </c>
      <c r="J82" s="45">
        <f t="shared" si="1"/>
        <v>93.059120993054734</v>
      </c>
    </row>
    <row r="83" spans="1:10" x14ac:dyDescent="0.25">
      <c r="A83">
        <v>51</v>
      </c>
      <c r="B83" s="28">
        <v>10</v>
      </c>
      <c r="C83" s="23">
        <v>100</v>
      </c>
      <c r="D83">
        <v>26</v>
      </c>
      <c r="E83" s="24">
        <v>100</v>
      </c>
      <c r="F83" s="28">
        <v>3</v>
      </c>
      <c r="G83" s="34">
        <v>40</v>
      </c>
      <c r="H83" s="35">
        <v>10</v>
      </c>
      <c r="I83" s="20">
        <f t="shared" si="0"/>
        <v>94.868329805051374</v>
      </c>
      <c r="J83" s="45">
        <f t="shared" si="1"/>
        <v>91.082380293885606</v>
      </c>
    </row>
    <row r="84" spans="1:10" x14ac:dyDescent="0.25">
      <c r="A84">
        <v>52</v>
      </c>
      <c r="B84" s="28">
        <v>10</v>
      </c>
      <c r="C84" s="23">
        <v>98</v>
      </c>
      <c r="D84">
        <v>26</v>
      </c>
      <c r="E84" s="24">
        <v>98</v>
      </c>
      <c r="F84" s="28">
        <v>3</v>
      </c>
      <c r="G84" s="34">
        <v>40</v>
      </c>
      <c r="H84" s="35">
        <v>10</v>
      </c>
      <c r="I84" s="20">
        <f t="shared" si="0"/>
        <v>92.973114393355672</v>
      </c>
      <c r="J84" s="45">
        <f t="shared" si="1"/>
        <v>89.10667763978185</v>
      </c>
    </row>
    <row r="85" spans="1:10" x14ac:dyDescent="0.25">
      <c r="A85">
        <v>53</v>
      </c>
      <c r="B85" s="28">
        <v>10</v>
      </c>
      <c r="C85" s="23">
        <v>96</v>
      </c>
      <c r="D85">
        <v>26</v>
      </c>
      <c r="E85" s="24">
        <v>96</v>
      </c>
      <c r="F85" s="28">
        <v>3</v>
      </c>
      <c r="G85" s="34">
        <v>40</v>
      </c>
      <c r="H85" s="35">
        <v>10</v>
      </c>
      <c r="I85" s="20">
        <f t="shared" si="0"/>
        <v>91.082380293885606</v>
      </c>
      <c r="J85" s="45">
        <f t="shared" si="1"/>
        <v>87.13208364316786</v>
      </c>
    </row>
    <row r="86" spans="1:10" x14ac:dyDescent="0.25">
      <c r="A86">
        <v>54</v>
      </c>
      <c r="B86" s="28">
        <v>10</v>
      </c>
      <c r="C86" s="23">
        <v>94</v>
      </c>
      <c r="D86">
        <v>26</v>
      </c>
      <c r="E86" s="24">
        <v>94</v>
      </c>
      <c r="F86" s="28">
        <v>3</v>
      </c>
      <c r="G86" s="34">
        <v>40</v>
      </c>
      <c r="H86" s="35">
        <v>10</v>
      </c>
      <c r="I86" s="20">
        <f t="shared" si="0"/>
        <v>89.196412483911033</v>
      </c>
      <c r="J86" s="45">
        <f t="shared" si="1"/>
        <v>85.158675424175073</v>
      </c>
    </row>
    <row r="87" spans="1:10" x14ac:dyDescent="0.25">
      <c r="A87">
        <v>55</v>
      </c>
      <c r="B87" s="28">
        <v>10</v>
      </c>
      <c r="C87" s="23">
        <v>92</v>
      </c>
      <c r="D87">
        <v>26</v>
      </c>
      <c r="E87" s="24">
        <v>92</v>
      </c>
      <c r="F87" s="28">
        <v>2</v>
      </c>
      <c r="G87" s="34">
        <v>39</v>
      </c>
      <c r="H87" s="35">
        <v>10</v>
      </c>
      <c r="I87" s="20">
        <f t="shared" si="0"/>
        <v>86.977008456258133</v>
      </c>
      <c r="J87" s="45">
        <f t="shared" si="1"/>
        <v>83.024092888751269</v>
      </c>
    </row>
    <row r="88" spans="1:10" x14ac:dyDescent="0.25">
      <c r="A88">
        <v>56</v>
      </c>
      <c r="B88" s="28">
        <v>10</v>
      </c>
      <c r="C88" s="23">
        <v>90</v>
      </c>
      <c r="D88">
        <v>26</v>
      </c>
      <c r="E88" s="24">
        <v>90</v>
      </c>
      <c r="F88" s="28">
        <v>2</v>
      </c>
      <c r="G88" s="34">
        <v>39</v>
      </c>
      <c r="H88" s="35">
        <v>10</v>
      </c>
      <c r="I88" s="20">
        <f t="shared" si="0"/>
        <v>85.094065598019228</v>
      </c>
      <c r="J88" s="45">
        <f t="shared" si="1"/>
        <v>81.049367671808525</v>
      </c>
    </row>
    <row r="89" spans="1:10" x14ac:dyDescent="0.25">
      <c r="A89">
        <v>57</v>
      </c>
      <c r="B89" s="28">
        <v>10</v>
      </c>
      <c r="C89" s="23">
        <v>88</v>
      </c>
      <c r="D89">
        <v>26</v>
      </c>
      <c r="E89" s="24">
        <v>88</v>
      </c>
      <c r="F89" s="28">
        <v>2</v>
      </c>
      <c r="G89" s="34">
        <v>39</v>
      </c>
      <c r="H89" s="35">
        <v>10</v>
      </c>
      <c r="I89" s="20">
        <f t="shared" si="0"/>
        <v>83.21658488546619</v>
      </c>
      <c r="J89" s="45">
        <f t="shared" si="1"/>
        <v>79.075912893876861</v>
      </c>
    </row>
    <row r="90" spans="1:10" x14ac:dyDescent="0.25">
      <c r="A90">
        <v>58</v>
      </c>
      <c r="B90" s="28">
        <v>10</v>
      </c>
      <c r="C90" s="23">
        <v>86</v>
      </c>
      <c r="D90">
        <v>26</v>
      </c>
      <c r="E90" s="24">
        <v>86</v>
      </c>
      <c r="F90" s="28">
        <v>2</v>
      </c>
      <c r="G90" s="34">
        <v>39</v>
      </c>
      <c r="H90" s="35">
        <v>10</v>
      </c>
      <c r="I90" s="20">
        <f t="shared" si="0"/>
        <v>81.344944526380985</v>
      </c>
      <c r="J90" s="45">
        <f t="shared" si="1"/>
        <v>77.103826104804938</v>
      </c>
    </row>
    <row r="91" spans="1:10" x14ac:dyDescent="0.25">
      <c r="A91">
        <v>59</v>
      </c>
      <c r="B91" s="28">
        <v>10</v>
      </c>
      <c r="C91" s="23">
        <v>84</v>
      </c>
      <c r="D91">
        <v>26</v>
      </c>
      <c r="E91" s="24">
        <v>84</v>
      </c>
      <c r="F91" s="28">
        <v>2</v>
      </c>
      <c r="G91" s="34">
        <v>39</v>
      </c>
      <c r="H91" s="35">
        <v>10</v>
      </c>
      <c r="I91" s="20">
        <f t="shared" si="0"/>
        <v>79.479557120054466</v>
      </c>
      <c r="J91" s="45">
        <f t="shared" si="1"/>
        <v>75.133215025047349</v>
      </c>
    </row>
    <row r="92" spans="1:10" x14ac:dyDescent="0.25">
      <c r="A92">
        <v>60</v>
      </c>
      <c r="B92" s="28">
        <v>10</v>
      </c>
      <c r="C92" s="23">
        <v>82</v>
      </c>
      <c r="D92">
        <v>26</v>
      </c>
      <c r="E92" s="24">
        <v>82</v>
      </c>
      <c r="F92" s="28">
        <v>2</v>
      </c>
      <c r="G92" s="34">
        <v>39</v>
      </c>
      <c r="H92" s="35">
        <v>10</v>
      </c>
      <c r="I92" s="20">
        <f t="shared" si="0"/>
        <v>77.620873481300123</v>
      </c>
      <c r="J92" s="45">
        <f t="shared" si="1"/>
        <v>73.16419889536138</v>
      </c>
    </row>
    <row r="93" spans="1:10" x14ac:dyDescent="0.25">
      <c r="A93">
        <v>61</v>
      </c>
      <c r="B93" s="28">
        <v>10</v>
      </c>
      <c r="C93" s="23">
        <v>80</v>
      </c>
      <c r="D93">
        <v>26</v>
      </c>
      <c r="E93" s="24">
        <v>80</v>
      </c>
      <c r="F93" s="28">
        <v>2</v>
      </c>
      <c r="G93" s="34">
        <v>39</v>
      </c>
      <c r="H93" s="35">
        <v>10</v>
      </c>
      <c r="I93" s="20">
        <f t="shared" si="0"/>
        <v>75.769386958058462</v>
      </c>
      <c r="J93" s="45">
        <f t="shared" si="1"/>
        <v>71.196910045310247</v>
      </c>
    </row>
    <row r="94" spans="1:10" x14ac:dyDescent="0.25">
      <c r="A94">
        <v>62</v>
      </c>
      <c r="B94" s="28">
        <v>10</v>
      </c>
      <c r="C94" s="23">
        <v>78</v>
      </c>
      <c r="D94">
        <v>26</v>
      </c>
      <c r="E94" s="24">
        <v>78</v>
      </c>
      <c r="F94" s="28">
        <v>2</v>
      </c>
      <c r="G94" s="34">
        <v>39</v>
      </c>
      <c r="H94" s="35">
        <v>10</v>
      </c>
      <c r="I94" s="20">
        <f t="shared" si="0"/>
        <v>73.925638313104884</v>
      </c>
      <c r="J94" s="45">
        <f t="shared" si="1"/>
        <v>69.231495722683903</v>
      </c>
    </row>
    <row r="95" spans="1:10" x14ac:dyDescent="0.25">
      <c r="A95">
        <v>63</v>
      </c>
      <c r="B95" s="28">
        <v>10</v>
      </c>
      <c r="C95" s="23">
        <v>76</v>
      </c>
      <c r="D95">
        <v>26</v>
      </c>
      <c r="E95" s="24">
        <v>76</v>
      </c>
      <c r="F95" s="28">
        <v>2</v>
      </c>
      <c r="G95" s="34">
        <v>39</v>
      </c>
      <c r="H95" s="35">
        <v>10</v>
      </c>
      <c r="I95" s="20">
        <f t="shared" si="0"/>
        <v>72.090221250874237</v>
      </c>
      <c r="J95" s="45">
        <f t="shared" si="1"/>
        <v>67.268120235368556</v>
      </c>
    </row>
    <row r="96" spans="1:10" x14ac:dyDescent="0.25">
      <c r="A96">
        <v>64</v>
      </c>
      <c r="B96" s="28">
        <v>10</v>
      </c>
      <c r="C96" s="23">
        <v>74</v>
      </c>
      <c r="D96">
        <v>26</v>
      </c>
      <c r="E96" s="24">
        <v>74</v>
      </c>
      <c r="F96" s="28">
        <v>2</v>
      </c>
      <c r="G96" s="34">
        <v>39</v>
      </c>
      <c r="H96" s="35">
        <v>10</v>
      </c>
      <c r="I96" s="20">
        <f t="shared" si="0"/>
        <v>70.263788682364691</v>
      </c>
      <c r="J96" s="45">
        <f t="shared" si="1"/>
        <v>65.30696746902278</v>
      </c>
    </row>
    <row r="97" spans="1:10" x14ac:dyDescent="0.25">
      <c r="A97">
        <v>65</v>
      </c>
      <c r="B97" s="28">
        <v>10</v>
      </c>
      <c r="C97" s="23">
        <v>72</v>
      </c>
      <c r="D97">
        <v>26</v>
      </c>
      <c r="E97" s="24">
        <v>72</v>
      </c>
      <c r="F97" s="28">
        <v>2</v>
      </c>
      <c r="G97" s="34">
        <v>39</v>
      </c>
      <c r="H97" s="35">
        <v>10</v>
      </c>
      <c r="I97" s="20">
        <f t="shared" si="0"/>
        <v>68.447059834590405</v>
      </c>
      <c r="J97" s="45">
        <f t="shared" si="1"/>
        <v>63.348243858847418</v>
      </c>
    </row>
    <row r="98" spans="1:10" x14ac:dyDescent="0.25">
      <c r="A98">
        <v>66</v>
      </c>
      <c r="B98" s="28">
        <v>10</v>
      </c>
      <c r="C98" s="23">
        <v>70</v>
      </c>
      <c r="D98">
        <v>26</v>
      </c>
      <c r="E98" s="24">
        <v>70</v>
      </c>
      <c r="F98" s="28">
        <v>2</v>
      </c>
      <c r="G98" s="34">
        <v>39</v>
      </c>
      <c r="H98" s="35">
        <v>10</v>
      </c>
      <c r="I98" s="20">
        <f t="shared" ref="I98:I122" si="2">SQRT((B98-G98)^2+(C98-H98)^2)</f>
        <v>66.640828326184547</v>
      </c>
      <c r="J98" s="45">
        <f t="shared" ref="J98:J122" si="3">SQRT((D98-G98)^2+(E98-H98)^2)</f>
        <v>61.392181912683313</v>
      </c>
    </row>
    <row r="99" spans="1:10" x14ac:dyDescent="0.25">
      <c r="A99">
        <v>67</v>
      </c>
      <c r="B99" s="28">
        <v>10</v>
      </c>
      <c r="C99" s="23">
        <v>68</v>
      </c>
      <c r="D99">
        <v>26</v>
      </c>
      <c r="E99" s="24">
        <v>68</v>
      </c>
      <c r="F99" s="28">
        <v>2</v>
      </c>
      <c r="G99" s="34">
        <v>39</v>
      </c>
      <c r="H99" s="35">
        <v>10</v>
      </c>
      <c r="I99" s="20">
        <f t="shared" si="2"/>
        <v>64.845971347493901</v>
      </c>
      <c r="J99" s="45">
        <f t="shared" si="3"/>
        <v>59.439044406854322</v>
      </c>
    </row>
    <row r="100" spans="1:10" x14ac:dyDescent="0.25">
      <c r="A100">
        <v>68</v>
      </c>
      <c r="B100" s="28">
        <v>10</v>
      </c>
      <c r="C100" s="23">
        <v>66</v>
      </c>
      <c r="D100">
        <v>26</v>
      </c>
      <c r="E100" s="24">
        <v>66</v>
      </c>
      <c r="F100" s="28">
        <v>2</v>
      </c>
      <c r="G100" s="34">
        <v>39</v>
      </c>
      <c r="H100" s="35">
        <v>10</v>
      </c>
      <c r="I100" s="20">
        <f t="shared" si="2"/>
        <v>63.063460101710248</v>
      </c>
      <c r="J100" s="45">
        <f t="shared" si="3"/>
        <v>57.489129407219238</v>
      </c>
    </row>
    <row r="101" spans="1:10" x14ac:dyDescent="0.25">
      <c r="A101">
        <v>69</v>
      </c>
      <c r="B101" s="28">
        <v>10</v>
      </c>
      <c r="C101" s="23">
        <v>64</v>
      </c>
      <c r="D101">
        <v>26</v>
      </c>
      <c r="E101" s="24">
        <v>64</v>
      </c>
      <c r="F101" s="28">
        <v>2</v>
      </c>
      <c r="G101" s="34">
        <v>39</v>
      </c>
      <c r="H101" s="35">
        <v>10</v>
      </c>
      <c r="I101" s="20">
        <f t="shared" si="2"/>
        <v>61.294371682887821</v>
      </c>
      <c r="J101" s="45">
        <f t="shared" si="3"/>
        <v>55.542776307995261</v>
      </c>
    </row>
    <row r="102" spans="1:10" x14ac:dyDescent="0.25">
      <c r="A102">
        <v>70</v>
      </c>
      <c r="B102" s="28">
        <v>10</v>
      </c>
      <c r="C102" s="23">
        <v>62</v>
      </c>
      <c r="D102">
        <v>26</v>
      </c>
      <c r="E102" s="24">
        <v>62</v>
      </c>
      <c r="F102" s="28">
        <v>2</v>
      </c>
      <c r="G102" s="34">
        <v>39</v>
      </c>
      <c r="H102" s="35">
        <v>10</v>
      </c>
      <c r="I102" s="20">
        <f t="shared" si="2"/>
        <v>59.539902586416787</v>
      </c>
      <c r="J102" s="45">
        <f t="shared" si="3"/>
        <v>53.600373133029585</v>
      </c>
    </row>
    <row r="103" spans="1:10" x14ac:dyDescent="0.25">
      <c r="A103">
        <v>71</v>
      </c>
      <c r="B103" s="28">
        <v>10</v>
      </c>
      <c r="C103" s="23">
        <v>60</v>
      </c>
      <c r="D103">
        <v>26</v>
      </c>
      <c r="E103" s="24">
        <v>60</v>
      </c>
      <c r="F103" s="28">
        <v>2</v>
      </c>
      <c r="G103" s="34">
        <v>39</v>
      </c>
      <c r="H103" s="35">
        <v>10</v>
      </c>
      <c r="I103" s="20">
        <f t="shared" si="2"/>
        <v>57.801384066473702</v>
      </c>
      <c r="J103" s="45">
        <f t="shared" si="3"/>
        <v>51.662365412357957</v>
      </c>
    </row>
    <row r="104" spans="1:10" x14ac:dyDescent="0.25">
      <c r="A104">
        <v>72</v>
      </c>
      <c r="B104" s="28">
        <v>10</v>
      </c>
      <c r="C104" s="23">
        <v>58</v>
      </c>
      <c r="D104">
        <v>26</v>
      </c>
      <c r="E104" s="24">
        <v>58</v>
      </c>
      <c r="F104" s="28">
        <v>2</v>
      </c>
      <c r="G104" s="34">
        <v>39</v>
      </c>
      <c r="H104" s="35">
        <v>10</v>
      </c>
      <c r="I104" s="20">
        <f t="shared" si="2"/>
        <v>56.080299571239813</v>
      </c>
      <c r="J104" s="45">
        <f t="shared" si="3"/>
        <v>49.729267036625423</v>
      </c>
    </row>
    <row r="105" spans="1:10" x14ac:dyDescent="0.25">
      <c r="A105">
        <v>73</v>
      </c>
      <c r="B105" s="28">
        <v>10</v>
      </c>
      <c r="C105" s="23">
        <v>56</v>
      </c>
      <c r="D105">
        <v>26</v>
      </c>
      <c r="E105" s="24">
        <v>56</v>
      </c>
      <c r="F105" s="28">
        <v>1</v>
      </c>
      <c r="G105" s="34">
        <v>38</v>
      </c>
      <c r="H105" s="35">
        <v>10</v>
      </c>
      <c r="I105" s="20">
        <f t="shared" si="2"/>
        <v>53.851648071345039</v>
      </c>
      <c r="J105" s="45">
        <f t="shared" si="3"/>
        <v>47.539457296018853</v>
      </c>
    </row>
    <row r="106" spans="1:10" x14ac:dyDescent="0.25">
      <c r="A106">
        <v>74</v>
      </c>
      <c r="B106" s="28">
        <v>10</v>
      </c>
      <c r="C106" s="23">
        <v>54</v>
      </c>
      <c r="D106">
        <v>26</v>
      </c>
      <c r="E106" s="24">
        <v>54</v>
      </c>
      <c r="F106" s="28">
        <v>1</v>
      </c>
      <c r="G106" s="34">
        <v>38</v>
      </c>
      <c r="H106" s="35">
        <v>10</v>
      </c>
      <c r="I106" s="20">
        <f t="shared" si="2"/>
        <v>52.153619241621193</v>
      </c>
      <c r="J106" s="45">
        <f t="shared" si="3"/>
        <v>45.607017003965517</v>
      </c>
    </row>
    <row r="107" spans="1:10" x14ac:dyDescent="0.25">
      <c r="A107">
        <v>75</v>
      </c>
      <c r="B107" s="28">
        <v>10</v>
      </c>
      <c r="C107" s="23">
        <v>52</v>
      </c>
      <c r="D107">
        <v>26</v>
      </c>
      <c r="E107" s="24">
        <v>52</v>
      </c>
      <c r="F107" s="28">
        <v>1</v>
      </c>
      <c r="G107" s="34">
        <v>38</v>
      </c>
      <c r="H107" s="35">
        <v>10</v>
      </c>
      <c r="I107" s="20">
        <f t="shared" si="2"/>
        <v>50.47771785649585</v>
      </c>
      <c r="J107" s="45">
        <f t="shared" si="3"/>
        <v>43.68065933568311</v>
      </c>
    </row>
    <row r="108" spans="1:10" x14ac:dyDescent="0.25">
      <c r="A108">
        <v>76</v>
      </c>
      <c r="B108" s="28">
        <v>10</v>
      </c>
      <c r="C108" s="23">
        <v>50</v>
      </c>
      <c r="D108">
        <v>26</v>
      </c>
      <c r="E108" s="24">
        <v>50</v>
      </c>
      <c r="F108" s="28">
        <v>1</v>
      </c>
      <c r="G108" s="34">
        <v>38</v>
      </c>
      <c r="H108" s="35">
        <v>10</v>
      </c>
      <c r="I108" s="20">
        <f t="shared" si="2"/>
        <v>48.826222462934808</v>
      </c>
      <c r="J108" s="45">
        <f t="shared" si="3"/>
        <v>41.761226035642203</v>
      </c>
    </row>
    <row r="109" spans="1:10" x14ac:dyDescent="0.25">
      <c r="A109">
        <v>77</v>
      </c>
      <c r="B109" s="28">
        <v>10</v>
      </c>
      <c r="C109" s="23">
        <v>48</v>
      </c>
      <c r="D109">
        <v>26</v>
      </c>
      <c r="E109" s="24">
        <v>48</v>
      </c>
      <c r="F109" s="28">
        <v>1</v>
      </c>
      <c r="G109" s="34">
        <v>38</v>
      </c>
      <c r="H109" s="35">
        <v>10</v>
      </c>
      <c r="I109" s="20">
        <f t="shared" si="2"/>
        <v>47.201694884823787</v>
      </c>
      <c r="J109" s="45">
        <f t="shared" si="3"/>
        <v>39.849717690342551</v>
      </c>
    </row>
    <row r="110" spans="1:10" x14ac:dyDescent="0.25">
      <c r="A110">
        <v>78</v>
      </c>
      <c r="B110" s="28">
        <v>10</v>
      </c>
      <c r="C110" s="23">
        <v>46</v>
      </c>
      <c r="D110">
        <v>26</v>
      </c>
      <c r="E110" s="24">
        <v>46</v>
      </c>
      <c r="F110" s="28">
        <v>1</v>
      </c>
      <c r="G110" s="34">
        <v>38</v>
      </c>
      <c r="H110" s="35">
        <v>10</v>
      </c>
      <c r="I110" s="20">
        <f t="shared" si="2"/>
        <v>45.607017003965517</v>
      </c>
      <c r="J110" s="45">
        <f t="shared" si="3"/>
        <v>37.947331922020552</v>
      </c>
    </row>
    <row r="111" spans="1:10" x14ac:dyDescent="0.25">
      <c r="A111">
        <v>79</v>
      </c>
      <c r="B111" s="28">
        <v>10</v>
      </c>
      <c r="C111" s="23">
        <v>44</v>
      </c>
      <c r="D111">
        <v>26</v>
      </c>
      <c r="E111" s="24">
        <v>44</v>
      </c>
      <c r="F111" s="28">
        <v>1</v>
      </c>
      <c r="G111" s="34">
        <v>38</v>
      </c>
      <c r="H111" s="35">
        <v>10</v>
      </c>
      <c r="I111" s="20">
        <f t="shared" si="2"/>
        <v>44.045431091090478</v>
      </c>
      <c r="J111" s="45">
        <f t="shared" si="3"/>
        <v>36.055512754639892</v>
      </c>
    </row>
    <row r="112" spans="1:10" x14ac:dyDescent="0.25">
      <c r="A112">
        <v>80</v>
      </c>
      <c r="B112" s="28">
        <v>10</v>
      </c>
      <c r="C112" s="23">
        <v>42</v>
      </c>
      <c r="D112">
        <v>26</v>
      </c>
      <c r="E112" s="24">
        <v>42</v>
      </c>
      <c r="F112" s="28">
        <v>1</v>
      </c>
      <c r="G112" s="34">
        <v>38</v>
      </c>
      <c r="H112" s="35">
        <v>10</v>
      </c>
      <c r="I112" s="20">
        <f t="shared" si="2"/>
        <v>42.5205832509386</v>
      </c>
      <c r="J112" s="45">
        <f t="shared" si="3"/>
        <v>34.176014981270121</v>
      </c>
    </row>
    <row r="113" spans="1:10" x14ac:dyDescent="0.25">
      <c r="A113">
        <v>81</v>
      </c>
      <c r="B113" s="28">
        <v>10</v>
      </c>
      <c r="C113" s="23">
        <v>40</v>
      </c>
      <c r="D113">
        <v>26</v>
      </c>
      <c r="E113" s="24">
        <v>40</v>
      </c>
      <c r="F113" s="28">
        <v>1</v>
      </c>
      <c r="G113" s="34">
        <v>38</v>
      </c>
      <c r="H113" s="35">
        <v>10</v>
      </c>
      <c r="I113" s="20">
        <f t="shared" si="2"/>
        <v>41.036569057366385</v>
      </c>
      <c r="J113" s="45">
        <f t="shared" si="3"/>
        <v>32.310988842807021</v>
      </c>
    </row>
    <row r="114" spans="1:10" x14ac:dyDescent="0.25">
      <c r="A114">
        <v>82</v>
      </c>
      <c r="B114" s="28">
        <v>10</v>
      </c>
      <c r="C114" s="23">
        <v>38</v>
      </c>
      <c r="D114">
        <v>26</v>
      </c>
      <c r="E114" s="24">
        <v>38</v>
      </c>
      <c r="F114" s="28">
        <v>1</v>
      </c>
      <c r="G114" s="34">
        <v>38</v>
      </c>
      <c r="H114" s="35">
        <v>10</v>
      </c>
      <c r="I114" s="20">
        <f t="shared" si="2"/>
        <v>39.597979746446661</v>
      </c>
      <c r="J114" s="45">
        <f t="shared" si="3"/>
        <v>30.463092423455635</v>
      </c>
    </row>
    <row r="115" spans="1:10" x14ac:dyDescent="0.25">
      <c r="A115">
        <v>83</v>
      </c>
      <c r="B115" s="28">
        <v>10</v>
      </c>
      <c r="C115" s="23">
        <v>36</v>
      </c>
      <c r="D115">
        <v>26</v>
      </c>
      <c r="E115" s="24">
        <v>36</v>
      </c>
      <c r="F115" s="28">
        <v>1</v>
      </c>
      <c r="G115" s="34">
        <v>38</v>
      </c>
      <c r="H115" s="35">
        <v>10</v>
      </c>
      <c r="I115" s="20">
        <f t="shared" si="2"/>
        <v>38.209946349085598</v>
      </c>
      <c r="J115" s="45">
        <f t="shared" si="3"/>
        <v>28.635642126552707</v>
      </c>
    </row>
    <row r="116" spans="1:10" x14ac:dyDescent="0.25">
      <c r="A116">
        <v>84</v>
      </c>
      <c r="B116" s="28">
        <v>10</v>
      </c>
      <c r="C116" s="23">
        <v>34</v>
      </c>
      <c r="D116">
        <v>26</v>
      </c>
      <c r="E116" s="24">
        <v>34</v>
      </c>
      <c r="F116" s="28">
        <v>1</v>
      </c>
      <c r="G116" s="34">
        <v>38</v>
      </c>
      <c r="H116" s="35">
        <v>10</v>
      </c>
      <c r="I116" s="20">
        <f t="shared" si="2"/>
        <v>36.878177829171548</v>
      </c>
      <c r="J116" s="45">
        <f t="shared" si="3"/>
        <v>26.832815729997478</v>
      </c>
    </row>
    <row r="117" spans="1:10" x14ac:dyDescent="0.25">
      <c r="A117">
        <v>85</v>
      </c>
      <c r="B117" s="28">
        <v>10</v>
      </c>
      <c r="C117" s="23">
        <v>32</v>
      </c>
      <c r="D117">
        <v>26</v>
      </c>
      <c r="E117" s="24">
        <v>32</v>
      </c>
      <c r="F117" s="28">
        <v>1</v>
      </c>
      <c r="G117" s="34">
        <v>38</v>
      </c>
      <c r="H117" s="35">
        <v>10</v>
      </c>
      <c r="I117" s="20">
        <f t="shared" si="2"/>
        <v>35.608987629529715</v>
      </c>
      <c r="J117" s="45">
        <f t="shared" si="3"/>
        <v>25.059928172283335</v>
      </c>
    </row>
    <row r="118" spans="1:10" x14ac:dyDescent="0.25">
      <c r="A118">
        <v>86</v>
      </c>
      <c r="B118" s="28">
        <v>10</v>
      </c>
      <c r="C118" s="23">
        <v>30</v>
      </c>
      <c r="D118">
        <v>26</v>
      </c>
      <c r="E118" s="24">
        <v>30</v>
      </c>
      <c r="F118" s="28">
        <v>1</v>
      </c>
      <c r="G118" s="34">
        <v>38</v>
      </c>
      <c r="H118" s="35">
        <v>10</v>
      </c>
      <c r="I118" s="20">
        <f t="shared" si="2"/>
        <v>34.409301068170507</v>
      </c>
      <c r="J118" s="45">
        <f t="shared" si="3"/>
        <v>23.323807579381203</v>
      </c>
    </row>
    <row r="119" spans="1:10" x14ac:dyDescent="0.25">
      <c r="A119">
        <v>87</v>
      </c>
      <c r="B119" s="28">
        <v>10</v>
      </c>
      <c r="C119" s="23">
        <v>28</v>
      </c>
      <c r="D119">
        <v>26</v>
      </c>
      <c r="E119" s="24">
        <v>28</v>
      </c>
      <c r="F119" s="28">
        <v>1</v>
      </c>
      <c r="G119" s="34">
        <v>38</v>
      </c>
      <c r="H119" s="35">
        <v>10</v>
      </c>
      <c r="I119" s="20">
        <f t="shared" si="2"/>
        <v>33.286633954186478</v>
      </c>
      <c r="J119" s="45">
        <f t="shared" si="3"/>
        <v>21.633307652783937</v>
      </c>
    </row>
    <row r="120" spans="1:10" x14ac:dyDescent="0.25">
      <c r="A120">
        <v>88</v>
      </c>
      <c r="B120" s="28">
        <v>10</v>
      </c>
      <c r="C120" s="23">
        <v>26</v>
      </c>
      <c r="D120">
        <v>26</v>
      </c>
      <c r="E120" s="24">
        <v>26</v>
      </c>
      <c r="F120" s="28">
        <v>1</v>
      </c>
      <c r="G120" s="34">
        <v>38</v>
      </c>
      <c r="H120" s="35">
        <v>10</v>
      </c>
      <c r="I120" s="20">
        <f t="shared" si="2"/>
        <v>32.249030993194197</v>
      </c>
      <c r="J120" s="45">
        <f t="shared" si="3"/>
        <v>20</v>
      </c>
    </row>
    <row r="121" spans="1:10" x14ac:dyDescent="0.25">
      <c r="A121">
        <v>89</v>
      </c>
      <c r="B121" s="28">
        <v>10</v>
      </c>
      <c r="C121" s="23">
        <v>24</v>
      </c>
      <c r="D121">
        <v>26</v>
      </c>
      <c r="E121" s="24">
        <v>24</v>
      </c>
      <c r="F121" s="28">
        <v>1</v>
      </c>
      <c r="G121" s="34">
        <v>38</v>
      </c>
      <c r="H121" s="35">
        <v>10</v>
      </c>
      <c r="I121" s="20">
        <f t="shared" si="2"/>
        <v>31.304951684997057</v>
      </c>
      <c r="J121" s="45">
        <f t="shared" si="3"/>
        <v>18.439088914585774</v>
      </c>
    </row>
    <row r="122" spans="1:10" ht="15.75" thickBot="1" x14ac:dyDescent="0.3">
      <c r="A122">
        <v>90</v>
      </c>
      <c r="B122" s="29">
        <v>10</v>
      </c>
      <c r="C122" s="22">
        <v>22</v>
      </c>
      <c r="D122" s="4">
        <v>26</v>
      </c>
      <c r="E122" s="25">
        <v>22</v>
      </c>
      <c r="F122" s="29">
        <v>1</v>
      </c>
      <c r="G122" s="36">
        <v>38</v>
      </c>
      <c r="H122" s="37">
        <v>10</v>
      </c>
      <c r="I122" s="21">
        <f t="shared" si="2"/>
        <v>30.463092423455635</v>
      </c>
      <c r="J122" s="46">
        <f t="shared" si="3"/>
        <v>16.970562748477139</v>
      </c>
    </row>
  </sheetData>
  <mergeCells count="25">
    <mergeCell ref="B8:D8"/>
    <mergeCell ref="F8:H8"/>
    <mergeCell ref="L8:M8"/>
    <mergeCell ref="B2:D2"/>
    <mergeCell ref="F2:J2"/>
    <mergeCell ref="L2:O2"/>
    <mergeCell ref="F3:H3"/>
    <mergeCell ref="L3:M3"/>
    <mergeCell ref="F4:H4"/>
    <mergeCell ref="L4:M4"/>
    <mergeCell ref="F14:H14"/>
    <mergeCell ref="F5:H5"/>
    <mergeCell ref="F6:H6"/>
    <mergeCell ref="L6:M6"/>
    <mergeCell ref="F7:H7"/>
    <mergeCell ref="F9:H9"/>
    <mergeCell ref="F10:H10"/>
    <mergeCell ref="L10:O10"/>
    <mergeCell ref="F11:H11"/>
    <mergeCell ref="F12:H12"/>
    <mergeCell ref="F15:H15"/>
    <mergeCell ref="B18:G18"/>
    <mergeCell ref="B31:C31"/>
    <mergeCell ref="D31:E31"/>
    <mergeCell ref="F31:J31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6621B-CBA0-4ADA-A1BA-0301565EC88C}">
  <sheetPr codeName="Planilha3"/>
  <dimension ref="A1:O122"/>
  <sheetViews>
    <sheetView tabSelected="1" zoomScale="80" zoomScaleNormal="80" workbookViewId="0">
      <selection activeCell="E11" sqref="E11"/>
    </sheetView>
  </sheetViews>
  <sheetFormatPr defaultRowHeight="15" x14ac:dyDescent="0.25"/>
  <cols>
    <col min="2" max="2" width="30.85546875" customWidth="1"/>
    <col min="3" max="3" width="14" customWidth="1"/>
    <col min="5" max="5" width="19.7109375" customWidth="1"/>
    <col min="6" max="6" width="13" bestFit="1" customWidth="1"/>
    <col min="8" max="8" width="13.5703125" customWidth="1"/>
    <col min="9" max="9" width="11.28515625" customWidth="1"/>
    <col min="10" max="10" width="12.42578125" customWidth="1"/>
    <col min="13" max="13" width="16.28515625" bestFit="1" customWidth="1"/>
    <col min="14" max="14" width="14.28515625" customWidth="1"/>
  </cols>
  <sheetData>
    <row r="1" spans="2:15" ht="15.75" thickBot="1" x14ac:dyDescent="0.3"/>
    <row r="2" spans="2:15" x14ac:dyDescent="0.25">
      <c r="B2" s="58" t="s">
        <v>0</v>
      </c>
      <c r="C2" s="59"/>
      <c r="D2" s="60"/>
      <c r="F2" s="58" t="s">
        <v>12</v>
      </c>
      <c r="G2" s="59"/>
      <c r="H2" s="59"/>
      <c r="I2" s="59"/>
      <c r="J2" s="60"/>
      <c r="L2" s="49" t="s">
        <v>23</v>
      </c>
      <c r="M2" s="50"/>
      <c r="N2" s="50"/>
      <c r="O2" s="51"/>
    </row>
    <row r="3" spans="2:15" x14ac:dyDescent="0.25">
      <c r="B3" s="11" t="s">
        <v>1</v>
      </c>
      <c r="C3" s="12" t="s">
        <v>8</v>
      </c>
      <c r="D3" s="13"/>
      <c r="F3" s="52" t="s">
        <v>13</v>
      </c>
      <c r="G3" s="53"/>
      <c r="H3" s="53"/>
      <c r="I3" s="12">
        <v>1350</v>
      </c>
      <c r="J3" s="13"/>
      <c r="L3" s="57" t="s">
        <v>24</v>
      </c>
      <c r="M3" s="56"/>
      <c r="N3">
        <v>6</v>
      </c>
      <c r="O3" s="2" t="s">
        <v>26</v>
      </c>
    </row>
    <row r="4" spans="2:15" x14ac:dyDescent="0.25">
      <c r="B4" s="11" t="s">
        <v>2</v>
      </c>
      <c r="C4" s="12">
        <v>550</v>
      </c>
      <c r="D4" s="13" t="s">
        <v>5</v>
      </c>
      <c r="F4" s="52" t="s">
        <v>14</v>
      </c>
      <c r="G4" s="53"/>
      <c r="H4" s="53"/>
      <c r="I4" s="12">
        <f>I3*C4/1000</f>
        <v>742.5</v>
      </c>
      <c r="J4" s="13" t="s">
        <v>18</v>
      </c>
      <c r="L4" s="57" t="s">
        <v>25</v>
      </c>
      <c r="M4" s="56"/>
      <c r="N4">
        <v>3.3999999999999998E-3</v>
      </c>
      <c r="O4" s="2" t="s">
        <v>31</v>
      </c>
    </row>
    <row r="5" spans="2:15" x14ac:dyDescent="0.25">
      <c r="B5" s="11" t="s">
        <v>3</v>
      </c>
      <c r="C5" s="12">
        <v>49</v>
      </c>
      <c r="D5" s="13" t="s">
        <v>6</v>
      </c>
      <c r="F5" s="52" t="s">
        <v>15</v>
      </c>
      <c r="G5" s="53"/>
      <c r="H5" s="53"/>
      <c r="I5" s="12">
        <v>5</v>
      </c>
      <c r="J5" s="13"/>
      <c r="L5" s="1" t="s">
        <v>27</v>
      </c>
      <c r="N5">
        <v>120</v>
      </c>
      <c r="O5" s="2" t="s">
        <v>26</v>
      </c>
    </row>
    <row r="6" spans="2:15" ht="15.75" thickBot="1" x14ac:dyDescent="0.3">
      <c r="B6" s="14" t="s">
        <v>4</v>
      </c>
      <c r="C6" s="15">
        <v>10.55</v>
      </c>
      <c r="D6" s="16" t="s">
        <v>7</v>
      </c>
      <c r="F6" s="52" t="s">
        <v>16</v>
      </c>
      <c r="G6" s="53"/>
      <c r="H6" s="53"/>
      <c r="I6" s="12">
        <f>I5*C10</f>
        <v>600</v>
      </c>
      <c r="J6" s="13" t="s">
        <v>18</v>
      </c>
      <c r="L6" s="57" t="s">
        <v>28</v>
      </c>
      <c r="M6" s="56"/>
      <c r="N6">
        <v>2.1000000000000001E-4</v>
      </c>
      <c r="O6" s="2" t="s">
        <v>31</v>
      </c>
    </row>
    <row r="7" spans="2:15" ht="15.75" thickBot="1" x14ac:dyDescent="0.3">
      <c r="F7" s="52" t="s">
        <v>19</v>
      </c>
      <c r="G7" s="53"/>
      <c r="H7" s="53"/>
      <c r="I7" s="12">
        <v>90</v>
      </c>
      <c r="J7" s="13"/>
      <c r="L7" s="1" t="s">
        <v>29</v>
      </c>
      <c r="N7">
        <v>10</v>
      </c>
      <c r="O7" s="2" t="s">
        <v>26</v>
      </c>
    </row>
    <row r="8" spans="2:15" ht="15.75" thickBot="1" x14ac:dyDescent="0.3">
      <c r="B8" s="58" t="s">
        <v>9</v>
      </c>
      <c r="C8" s="59"/>
      <c r="D8" s="60"/>
      <c r="F8" s="52" t="s">
        <v>20</v>
      </c>
      <c r="G8" s="53"/>
      <c r="H8" s="53"/>
      <c r="I8" s="12">
        <v>15</v>
      </c>
      <c r="J8" s="13"/>
      <c r="L8" s="54" t="s">
        <v>30</v>
      </c>
      <c r="M8" s="55"/>
      <c r="N8" s="4">
        <v>2.3999999999999998E-3</v>
      </c>
      <c r="O8" s="5" t="s">
        <v>31</v>
      </c>
    </row>
    <row r="9" spans="2:15" ht="15.75" thickBot="1" x14ac:dyDescent="0.3">
      <c r="B9" s="11" t="s">
        <v>1</v>
      </c>
      <c r="C9" s="12" t="s">
        <v>17</v>
      </c>
      <c r="D9" s="13"/>
      <c r="F9" s="52" t="s">
        <v>21</v>
      </c>
      <c r="G9" s="53"/>
      <c r="H9" s="53"/>
      <c r="I9" s="12">
        <v>10.55</v>
      </c>
      <c r="J9" s="13" t="s">
        <v>7</v>
      </c>
    </row>
    <row r="10" spans="2:15" x14ac:dyDescent="0.25">
      <c r="B10" s="11" t="s">
        <v>2</v>
      </c>
      <c r="C10" s="12">
        <v>120</v>
      </c>
      <c r="D10" s="13" t="s">
        <v>18</v>
      </c>
      <c r="F10" s="52" t="s">
        <v>22</v>
      </c>
      <c r="G10" s="53"/>
      <c r="H10" s="53"/>
      <c r="I10" s="12">
        <f>C5*I8</f>
        <v>735</v>
      </c>
      <c r="J10" s="13" t="s">
        <v>6</v>
      </c>
      <c r="L10" s="49" t="s">
        <v>36</v>
      </c>
      <c r="M10" s="50"/>
      <c r="N10" s="50"/>
      <c r="O10" s="51"/>
    </row>
    <row r="11" spans="2:15" x14ac:dyDescent="0.25">
      <c r="B11" s="11" t="s">
        <v>10</v>
      </c>
      <c r="C11" s="12">
        <v>173.2</v>
      </c>
      <c r="D11" s="13" t="s">
        <v>7</v>
      </c>
      <c r="F11" s="52" t="s">
        <v>32</v>
      </c>
      <c r="G11" s="53"/>
      <c r="H11" s="53"/>
      <c r="I11" s="12">
        <v>15000</v>
      </c>
      <c r="J11" s="13" t="s">
        <v>6</v>
      </c>
      <c r="L11" s="1"/>
      <c r="M11" t="s">
        <v>66</v>
      </c>
      <c r="N11" t="s">
        <v>74</v>
      </c>
      <c r="O11" s="2" t="s">
        <v>37</v>
      </c>
    </row>
    <row r="12" spans="2:15" ht="15.75" thickBot="1" x14ac:dyDescent="0.3">
      <c r="B12" s="14" t="s">
        <v>11</v>
      </c>
      <c r="C12" s="15">
        <v>400</v>
      </c>
      <c r="D12" s="16" t="s">
        <v>6</v>
      </c>
      <c r="F12" s="52" t="s">
        <v>33</v>
      </c>
      <c r="G12" s="53"/>
      <c r="H12" s="53"/>
      <c r="I12" s="12">
        <v>400</v>
      </c>
      <c r="J12" s="13" t="s">
        <v>6</v>
      </c>
      <c r="L12" s="1" t="s">
        <v>70</v>
      </c>
      <c r="M12" t="s">
        <v>67</v>
      </c>
      <c r="N12" s="20">
        <f>F19</f>
        <v>1.7593850400573603</v>
      </c>
      <c r="O12" s="42">
        <f>F20</f>
        <v>2.3695421414913942E-3</v>
      </c>
    </row>
    <row r="13" spans="2:15" ht="15.75" thickBot="1" x14ac:dyDescent="0.3">
      <c r="F13" s="1" t="s">
        <v>34</v>
      </c>
      <c r="I13">
        <f>C11*5</f>
        <v>866</v>
      </c>
      <c r="J13" s="13" t="s">
        <v>7</v>
      </c>
      <c r="L13" s="1" t="s">
        <v>71</v>
      </c>
      <c r="M13" t="s">
        <v>68</v>
      </c>
      <c r="N13" s="34">
        <f>F21</f>
        <v>0.37649145250284527</v>
      </c>
      <c r="O13" s="42">
        <f>F22</f>
        <v>5.0705919529002734E-4</v>
      </c>
    </row>
    <row r="14" spans="2:15" ht="15.75" thickBot="1" x14ac:dyDescent="0.3">
      <c r="B14" s="9" t="s">
        <v>75</v>
      </c>
      <c r="C14" s="7" t="s">
        <v>76</v>
      </c>
      <c r="D14" s="10" t="s">
        <v>77</v>
      </c>
      <c r="F14" s="54" t="s">
        <v>35</v>
      </c>
      <c r="G14" s="55"/>
      <c r="H14" s="55"/>
      <c r="I14" s="21">
        <f>I13*I12/I11</f>
        <v>23.093333333333334</v>
      </c>
      <c r="J14" s="16" t="s">
        <v>7</v>
      </c>
      <c r="L14" s="1" t="s">
        <v>72</v>
      </c>
      <c r="M14" t="s">
        <v>69</v>
      </c>
      <c r="N14" s="40">
        <f>F23</f>
        <v>0.24184041264279063</v>
      </c>
      <c r="O14" s="42">
        <f>F24</f>
        <v>3.257109934583039E-4</v>
      </c>
    </row>
    <row r="15" spans="2:15" ht="15.75" thickBot="1" x14ac:dyDescent="0.3">
      <c r="B15" s="11" t="s">
        <v>40</v>
      </c>
      <c r="C15" s="12">
        <v>28</v>
      </c>
      <c r="D15" s="47">
        <v>40</v>
      </c>
      <c r="F15" s="56"/>
      <c r="G15" s="56"/>
      <c r="H15" s="56"/>
      <c r="L15" s="3"/>
      <c r="M15" s="4" t="s">
        <v>73</v>
      </c>
      <c r="N15" s="43">
        <f>N12+N13+N14</f>
        <v>2.3777169052029961</v>
      </c>
      <c r="O15" s="44">
        <f>O12+O13+O14</f>
        <v>3.2023123302397254E-3</v>
      </c>
    </row>
    <row r="16" spans="2:15" ht="15.75" thickBot="1" x14ac:dyDescent="0.3">
      <c r="B16" s="14" t="s">
        <v>39</v>
      </c>
      <c r="C16" s="19">
        <v>1</v>
      </c>
      <c r="D16" s="48">
        <v>200</v>
      </c>
    </row>
    <row r="17" spans="2:11" ht="15.75" thickBot="1" x14ac:dyDescent="0.3"/>
    <row r="18" spans="2:11" x14ac:dyDescent="0.25">
      <c r="B18" s="49" t="s">
        <v>38</v>
      </c>
      <c r="C18" s="50"/>
      <c r="D18" s="50"/>
      <c r="E18" s="50"/>
      <c r="F18" s="50"/>
      <c r="G18" s="51"/>
      <c r="I18" s="56"/>
      <c r="J18" s="56"/>
      <c r="K18" s="56"/>
    </row>
    <row r="19" spans="2:11" x14ac:dyDescent="0.25">
      <c r="B19" s="1" t="s">
        <v>55</v>
      </c>
      <c r="C19" s="34">
        <f>AVERAGE(I33:I122)</f>
        <v>45.686876274819753</v>
      </c>
      <c r="D19" t="s">
        <v>51</v>
      </c>
      <c r="E19" t="s">
        <v>57</v>
      </c>
      <c r="F19" s="20">
        <f>C21*2*N4*I7*I9^2*0.6/1000</f>
        <v>1.7593850400573603</v>
      </c>
      <c r="G19" s="2" t="s">
        <v>18</v>
      </c>
      <c r="I19" s="56"/>
      <c r="J19" s="56"/>
      <c r="K19" s="56"/>
    </row>
    <row r="20" spans="2:11" x14ac:dyDescent="0.25">
      <c r="B20" s="1" t="s">
        <v>56</v>
      </c>
      <c r="C20" s="34">
        <f>AVERAGE(J33:J122)</f>
        <v>40.409187963224362</v>
      </c>
      <c r="D20" t="s">
        <v>51</v>
      </c>
      <c r="E20" t="s">
        <v>58</v>
      </c>
      <c r="F20" s="38">
        <f>F19/I4</f>
        <v>2.3695421414913942E-3</v>
      </c>
      <c r="G20" s="2"/>
      <c r="I20" s="56"/>
      <c r="J20" s="56"/>
      <c r="K20" s="56"/>
    </row>
    <row r="21" spans="2:11" x14ac:dyDescent="0.25">
      <c r="B21" s="1" t="s">
        <v>59</v>
      </c>
      <c r="C21" s="34">
        <f>AVERAGE(C19:C20)</f>
        <v>43.048032119022054</v>
      </c>
      <c r="D21" t="s">
        <v>51</v>
      </c>
      <c r="E21" t="s">
        <v>61</v>
      </c>
      <c r="F21" s="34">
        <f>3*N6*C11^2*C22*0.6*I5/1000</f>
        <v>0.37649145250284527</v>
      </c>
      <c r="G21" s="2" t="s">
        <v>18</v>
      </c>
      <c r="I21" s="56"/>
      <c r="J21" s="56"/>
      <c r="K21" s="56"/>
    </row>
    <row r="22" spans="2:11" x14ac:dyDescent="0.25">
      <c r="B22" s="1" t="s">
        <v>60</v>
      </c>
      <c r="C22" s="34">
        <f>AVERAGE(SQRT((C26-C29)^2+(C27-C30)^2),SQRT((D26-C29)^2+(D27-C30)^2),SQRT((E26-C29)^2+(E27-C30)^2),SQRT((F26-C29)^2+(F27-C30)^2),SQRT((G26-C29)^2+(G27-C30)^2))</f>
        <v>6.6404504637966157</v>
      </c>
      <c r="E22" t="s">
        <v>62</v>
      </c>
      <c r="F22" s="38">
        <f>F21/I4</f>
        <v>5.0705919529002734E-4</v>
      </c>
      <c r="G22" s="2"/>
      <c r="I22" s="56"/>
      <c r="J22" s="56"/>
      <c r="K22" s="56"/>
    </row>
    <row r="23" spans="2:11" x14ac:dyDescent="0.25">
      <c r="B23" s="1" t="s">
        <v>63</v>
      </c>
      <c r="C23" s="39">
        <f>SQRT((C29-D29)^2+(C30-D30)^2)</f>
        <v>104.97161521097024</v>
      </c>
      <c r="D23" t="s">
        <v>51</v>
      </c>
      <c r="E23" t="s">
        <v>64</v>
      </c>
      <c r="F23" s="40">
        <f>3*N8*I14^2*C23*0.6/1000</f>
        <v>0.24184041264279063</v>
      </c>
      <c r="G23" s="2" t="s">
        <v>18</v>
      </c>
    </row>
    <row r="24" spans="2:11" ht="15.75" thickBot="1" x14ac:dyDescent="0.3">
      <c r="B24" s="3"/>
      <c r="C24" s="4"/>
      <c r="D24" s="4"/>
      <c r="E24" s="4" t="s">
        <v>65</v>
      </c>
      <c r="F24" s="41">
        <f>F23/I4</f>
        <v>3.257109934583039E-4</v>
      </c>
      <c r="G24" s="5"/>
      <c r="I24" s="61" t="s">
        <v>78</v>
      </c>
      <c r="J24" s="61"/>
      <c r="K24" s="61"/>
    </row>
    <row r="25" spans="2:11" x14ac:dyDescent="0.25">
      <c r="B25" s="6" t="s">
        <v>41</v>
      </c>
      <c r="C25" s="7" t="s">
        <v>42</v>
      </c>
      <c r="D25" s="7" t="s">
        <v>43</v>
      </c>
      <c r="E25" s="7" t="s">
        <v>44</v>
      </c>
      <c r="F25" s="7" t="s">
        <v>45</v>
      </c>
      <c r="G25" s="8" t="s">
        <v>46</v>
      </c>
      <c r="I25" s="61"/>
      <c r="J25" s="61"/>
      <c r="K25" s="61"/>
    </row>
    <row r="26" spans="2:11" x14ac:dyDescent="0.25">
      <c r="B26" s="17" t="s">
        <v>40</v>
      </c>
      <c r="C26" s="23">
        <v>28</v>
      </c>
      <c r="D26" s="23">
        <v>28</v>
      </c>
      <c r="E26" s="23">
        <v>28</v>
      </c>
      <c r="F26" s="23">
        <v>28</v>
      </c>
      <c r="G26" s="24">
        <v>28</v>
      </c>
      <c r="I26" s="61"/>
      <c r="J26" s="61"/>
      <c r="K26" s="61"/>
    </row>
    <row r="27" spans="2:11" ht="15.75" thickBot="1" x14ac:dyDescent="0.3">
      <c r="B27" s="18" t="s">
        <v>39</v>
      </c>
      <c r="C27" s="22">
        <v>100</v>
      </c>
      <c r="D27" s="22">
        <v>104</v>
      </c>
      <c r="E27" s="22">
        <v>108</v>
      </c>
      <c r="F27" s="22">
        <v>112</v>
      </c>
      <c r="G27" s="25">
        <v>116</v>
      </c>
      <c r="I27" s="61"/>
      <c r="J27" s="61"/>
      <c r="K27" s="61"/>
    </row>
    <row r="28" spans="2:11" x14ac:dyDescent="0.25">
      <c r="B28" s="26" t="s">
        <v>41</v>
      </c>
      <c r="C28" s="30" t="s">
        <v>47</v>
      </c>
      <c r="D28" s="31" t="s">
        <v>48</v>
      </c>
      <c r="I28" s="61"/>
      <c r="J28" s="61"/>
      <c r="K28" s="61"/>
    </row>
    <row r="29" spans="2:11" x14ac:dyDescent="0.25">
      <c r="B29" s="1" t="s">
        <v>40</v>
      </c>
      <c r="C29" s="23">
        <v>32</v>
      </c>
      <c r="D29" s="24">
        <v>38</v>
      </c>
      <c r="I29" s="61"/>
      <c r="J29" s="61"/>
      <c r="K29" s="61"/>
    </row>
    <row r="30" spans="2:11" ht="15.75" thickBot="1" x14ac:dyDescent="0.3">
      <c r="B30" s="1" t="s">
        <v>39</v>
      </c>
      <c r="C30" s="23">
        <v>108</v>
      </c>
      <c r="D30" s="24">
        <v>3.2</v>
      </c>
    </row>
    <row r="31" spans="2:11" x14ac:dyDescent="0.25">
      <c r="B31" s="49" t="s">
        <v>49</v>
      </c>
      <c r="C31" s="50"/>
      <c r="D31" s="50" t="s">
        <v>50</v>
      </c>
      <c r="E31" s="51"/>
      <c r="F31" s="49" t="s">
        <v>52</v>
      </c>
      <c r="G31" s="50"/>
      <c r="H31" s="50"/>
      <c r="I31" s="50"/>
      <c r="J31" s="51"/>
    </row>
    <row r="32" spans="2:11" ht="30" x14ac:dyDescent="0.25">
      <c r="B32" s="28" t="s">
        <v>40</v>
      </c>
      <c r="C32" s="23" t="s">
        <v>39</v>
      </c>
      <c r="D32" s="23" t="s">
        <v>40</v>
      </c>
      <c r="E32" s="24" t="s">
        <v>39</v>
      </c>
      <c r="F32" s="28"/>
      <c r="G32" s="23" t="s">
        <v>40</v>
      </c>
      <c r="H32" s="23" t="s">
        <v>39</v>
      </c>
      <c r="I32" s="32" t="s">
        <v>53</v>
      </c>
      <c r="J32" s="33" t="s">
        <v>54</v>
      </c>
    </row>
    <row r="33" spans="1:10" x14ac:dyDescent="0.25">
      <c r="A33">
        <v>1</v>
      </c>
      <c r="B33" s="28">
        <v>10</v>
      </c>
      <c r="C33" s="23">
        <v>200</v>
      </c>
      <c r="D33">
        <v>26</v>
      </c>
      <c r="E33" s="24">
        <v>200</v>
      </c>
      <c r="F33" s="28">
        <v>5</v>
      </c>
      <c r="G33" s="23">
        <f>$G$26</f>
        <v>28</v>
      </c>
      <c r="H33" s="23">
        <f>$G$27</f>
        <v>116</v>
      </c>
      <c r="I33" s="34">
        <f>SQRT((B33-G33)^2+(C33-H33)^2)</f>
        <v>85.906926379658117</v>
      </c>
      <c r="J33" s="35">
        <f>SQRT((D33-G33)^2+(E33-H33)^2)</f>
        <v>84.02380615040002</v>
      </c>
    </row>
    <row r="34" spans="1:10" x14ac:dyDescent="0.25">
      <c r="A34">
        <v>2</v>
      </c>
      <c r="B34" s="28">
        <v>10</v>
      </c>
      <c r="C34" s="23">
        <v>198</v>
      </c>
      <c r="D34">
        <v>26</v>
      </c>
      <c r="E34" s="24">
        <v>198</v>
      </c>
      <c r="F34" s="28">
        <v>5</v>
      </c>
      <c r="G34" s="23">
        <f t="shared" ref="G34:G49" si="0">$G$26</f>
        <v>28</v>
      </c>
      <c r="H34" s="23">
        <f t="shared" ref="H34:H49" si="1">$G$27</f>
        <v>116</v>
      </c>
      <c r="I34" s="34">
        <f t="shared" ref="I34:I97" si="2">SQRT((B34-G34)^2+(C34-H34)^2)</f>
        <v>83.952367447261423</v>
      </c>
      <c r="J34" s="35">
        <f t="shared" ref="J34:J97" si="3">SQRT((D34-G34)^2+(E34-H34)^2)</f>
        <v>82.024386617639507</v>
      </c>
    </row>
    <row r="35" spans="1:10" x14ac:dyDescent="0.25">
      <c r="A35">
        <v>3</v>
      </c>
      <c r="B35" s="28">
        <v>10</v>
      </c>
      <c r="C35" s="23">
        <v>196</v>
      </c>
      <c r="D35">
        <v>26</v>
      </c>
      <c r="E35" s="24">
        <v>196</v>
      </c>
      <c r="F35" s="28">
        <v>5</v>
      </c>
      <c r="G35" s="23">
        <f t="shared" si="0"/>
        <v>28</v>
      </c>
      <c r="H35" s="23">
        <f t="shared" si="1"/>
        <v>116</v>
      </c>
      <c r="I35" s="34">
        <f t="shared" si="2"/>
        <v>82</v>
      </c>
      <c r="J35" s="35">
        <f t="shared" si="3"/>
        <v>80.02499609497022</v>
      </c>
    </row>
    <row r="36" spans="1:10" x14ac:dyDescent="0.25">
      <c r="A36">
        <v>4</v>
      </c>
      <c r="B36" s="28">
        <v>10</v>
      </c>
      <c r="C36" s="23">
        <v>194</v>
      </c>
      <c r="D36">
        <v>26</v>
      </c>
      <c r="E36" s="24">
        <v>194</v>
      </c>
      <c r="F36" s="28">
        <v>5</v>
      </c>
      <c r="G36" s="23">
        <f t="shared" si="0"/>
        <v>28</v>
      </c>
      <c r="H36" s="23">
        <f t="shared" si="1"/>
        <v>116</v>
      </c>
      <c r="I36" s="34">
        <f t="shared" si="2"/>
        <v>80.049984384758005</v>
      </c>
      <c r="J36" s="35">
        <f t="shared" si="3"/>
        <v>78.025636812524638</v>
      </c>
    </row>
    <row r="37" spans="1:10" x14ac:dyDescent="0.25">
      <c r="A37">
        <v>5</v>
      </c>
      <c r="B37" s="28">
        <v>10</v>
      </c>
      <c r="C37" s="23">
        <v>192</v>
      </c>
      <c r="D37">
        <v>26</v>
      </c>
      <c r="E37" s="24">
        <v>192</v>
      </c>
      <c r="F37" s="28">
        <v>5</v>
      </c>
      <c r="G37" s="23">
        <f t="shared" si="0"/>
        <v>28</v>
      </c>
      <c r="H37" s="23">
        <f t="shared" si="1"/>
        <v>116</v>
      </c>
      <c r="I37" s="34">
        <f t="shared" si="2"/>
        <v>78.10249675906654</v>
      </c>
      <c r="J37" s="35">
        <f t="shared" si="3"/>
        <v>76.026311234992846</v>
      </c>
    </row>
    <row r="38" spans="1:10" x14ac:dyDescent="0.25">
      <c r="A38">
        <v>6</v>
      </c>
      <c r="B38" s="28">
        <v>10</v>
      </c>
      <c r="C38" s="23">
        <v>190</v>
      </c>
      <c r="D38">
        <v>26</v>
      </c>
      <c r="E38" s="24">
        <v>190</v>
      </c>
      <c r="F38" s="28">
        <v>5</v>
      </c>
      <c r="G38" s="23">
        <f t="shared" si="0"/>
        <v>28</v>
      </c>
      <c r="H38" s="23">
        <f t="shared" si="1"/>
        <v>116</v>
      </c>
      <c r="I38" s="34">
        <f t="shared" si="2"/>
        <v>76.157731058639087</v>
      </c>
      <c r="J38" s="35">
        <f t="shared" si="3"/>
        <v>74.027022093286988</v>
      </c>
    </row>
    <row r="39" spans="1:10" x14ac:dyDescent="0.25">
      <c r="A39">
        <v>7</v>
      </c>
      <c r="B39" s="28">
        <v>10</v>
      </c>
      <c r="C39" s="23">
        <v>188</v>
      </c>
      <c r="D39">
        <v>26</v>
      </c>
      <c r="E39" s="24">
        <v>188</v>
      </c>
      <c r="F39" s="28">
        <v>5</v>
      </c>
      <c r="G39" s="23">
        <f t="shared" si="0"/>
        <v>28</v>
      </c>
      <c r="H39" s="23">
        <f t="shared" si="1"/>
        <v>116</v>
      </c>
      <c r="I39" s="34">
        <f t="shared" si="2"/>
        <v>74.215901261117892</v>
      </c>
      <c r="J39" s="35">
        <f t="shared" si="3"/>
        <v>72.027772421476428</v>
      </c>
    </row>
    <row r="40" spans="1:10" x14ac:dyDescent="0.25">
      <c r="A40">
        <v>8</v>
      </c>
      <c r="B40" s="28">
        <v>10</v>
      </c>
      <c r="C40" s="23">
        <v>186</v>
      </c>
      <c r="D40">
        <v>26</v>
      </c>
      <c r="E40" s="24">
        <v>186</v>
      </c>
      <c r="F40" s="28">
        <v>5</v>
      </c>
      <c r="G40" s="23">
        <f t="shared" si="0"/>
        <v>28</v>
      </c>
      <c r="H40" s="23">
        <f t="shared" si="1"/>
        <v>116</v>
      </c>
      <c r="I40" s="34">
        <f t="shared" si="2"/>
        <v>72.277243998370608</v>
      </c>
      <c r="J40" s="35">
        <f t="shared" si="3"/>
        <v>70.028565600046392</v>
      </c>
    </row>
    <row r="41" spans="1:10" x14ac:dyDescent="0.25">
      <c r="A41">
        <v>9</v>
      </c>
      <c r="B41" s="28">
        <v>10</v>
      </c>
      <c r="C41" s="23">
        <v>184</v>
      </c>
      <c r="D41">
        <v>26</v>
      </c>
      <c r="E41" s="24">
        <v>184</v>
      </c>
      <c r="F41" s="28">
        <v>5</v>
      </c>
      <c r="G41" s="23">
        <f t="shared" si="0"/>
        <v>28</v>
      </c>
      <c r="H41" s="23">
        <f t="shared" si="1"/>
        <v>116</v>
      </c>
      <c r="I41" s="34">
        <f t="shared" si="2"/>
        <v>70.342021580275897</v>
      </c>
      <c r="J41" s="35">
        <f t="shared" si="3"/>
        <v>68.029405406779802</v>
      </c>
    </row>
    <row r="42" spans="1:10" x14ac:dyDescent="0.25">
      <c r="A42">
        <v>10</v>
      </c>
      <c r="B42" s="28">
        <v>10</v>
      </c>
      <c r="C42" s="23">
        <v>182</v>
      </c>
      <c r="D42">
        <v>26</v>
      </c>
      <c r="E42" s="24">
        <v>182</v>
      </c>
      <c r="F42" s="28">
        <v>5</v>
      </c>
      <c r="G42" s="23">
        <f t="shared" si="0"/>
        <v>28</v>
      </c>
      <c r="H42" s="23">
        <f t="shared" si="1"/>
        <v>116</v>
      </c>
      <c r="I42" s="34">
        <f t="shared" si="2"/>
        <v>68.410525505948286</v>
      </c>
      <c r="J42" s="35">
        <f t="shared" si="3"/>
        <v>66.030296076876709</v>
      </c>
    </row>
    <row r="43" spans="1:10" x14ac:dyDescent="0.25">
      <c r="A43">
        <v>11</v>
      </c>
      <c r="B43" s="28">
        <v>10</v>
      </c>
      <c r="C43" s="23">
        <v>180</v>
      </c>
      <c r="D43">
        <v>26</v>
      </c>
      <c r="E43" s="24">
        <v>180</v>
      </c>
      <c r="F43" s="28">
        <v>5</v>
      </c>
      <c r="G43" s="23">
        <f t="shared" si="0"/>
        <v>28</v>
      </c>
      <c r="H43" s="23">
        <f t="shared" si="1"/>
        <v>116</v>
      </c>
      <c r="I43" s="34">
        <f t="shared" si="2"/>
        <v>66.483080554378645</v>
      </c>
      <c r="J43" s="35">
        <f t="shared" si="3"/>
        <v>64.031242374328485</v>
      </c>
    </row>
    <row r="44" spans="1:10" x14ac:dyDescent="0.25">
      <c r="A44">
        <v>12</v>
      </c>
      <c r="B44" s="28">
        <v>10</v>
      </c>
      <c r="C44" s="23">
        <v>178</v>
      </c>
      <c r="D44">
        <v>26</v>
      </c>
      <c r="E44" s="24">
        <v>178</v>
      </c>
      <c r="F44" s="28">
        <v>5</v>
      </c>
      <c r="G44" s="23">
        <f t="shared" si="0"/>
        <v>28</v>
      </c>
      <c r="H44" s="23">
        <f t="shared" si="1"/>
        <v>116</v>
      </c>
      <c r="I44" s="34">
        <f t="shared" si="2"/>
        <v>64.560049566275893</v>
      </c>
      <c r="J44" s="35">
        <f t="shared" si="3"/>
        <v>62.032249677083293</v>
      </c>
    </row>
    <row r="45" spans="1:10" x14ac:dyDescent="0.25">
      <c r="A45">
        <v>13</v>
      </c>
      <c r="B45" s="28">
        <v>10</v>
      </c>
      <c r="C45" s="23">
        <v>176</v>
      </c>
      <c r="D45">
        <v>26</v>
      </c>
      <c r="E45" s="24">
        <v>176</v>
      </c>
      <c r="F45" s="28">
        <v>5</v>
      </c>
      <c r="G45" s="23">
        <f t="shared" si="0"/>
        <v>28</v>
      </c>
      <c r="H45" s="23">
        <f t="shared" si="1"/>
        <v>116</v>
      </c>
      <c r="I45" s="34">
        <f t="shared" si="2"/>
        <v>62.641839053463301</v>
      </c>
      <c r="J45" s="35">
        <f t="shared" si="3"/>
        <v>60.033324079214538</v>
      </c>
    </row>
    <row r="46" spans="1:10" x14ac:dyDescent="0.25">
      <c r="A46">
        <v>14</v>
      </c>
      <c r="B46" s="28">
        <v>10</v>
      </c>
      <c r="C46" s="23">
        <v>174</v>
      </c>
      <c r="D46">
        <v>26</v>
      </c>
      <c r="E46" s="24">
        <v>174</v>
      </c>
      <c r="F46" s="28">
        <v>5</v>
      </c>
      <c r="G46" s="23">
        <f t="shared" si="0"/>
        <v>28</v>
      </c>
      <c r="H46" s="23">
        <f t="shared" si="1"/>
        <v>116</v>
      </c>
      <c r="I46" s="34">
        <f t="shared" si="2"/>
        <v>60.728905802755904</v>
      </c>
      <c r="J46" s="35">
        <f t="shared" si="3"/>
        <v>58.034472514187634</v>
      </c>
    </row>
    <row r="47" spans="1:10" x14ac:dyDescent="0.25">
      <c r="A47">
        <v>15</v>
      </c>
      <c r="B47" s="28">
        <v>10</v>
      </c>
      <c r="C47" s="23">
        <v>172</v>
      </c>
      <c r="D47">
        <v>26</v>
      </c>
      <c r="E47" s="24">
        <v>172</v>
      </c>
      <c r="F47" s="28">
        <v>5</v>
      </c>
      <c r="G47" s="23">
        <f t="shared" si="0"/>
        <v>28</v>
      </c>
      <c r="H47" s="23">
        <f t="shared" si="1"/>
        <v>116</v>
      </c>
      <c r="I47" s="34">
        <f t="shared" si="2"/>
        <v>58.821764679410968</v>
      </c>
      <c r="J47" s="35">
        <f t="shared" si="3"/>
        <v>56.0357029044876</v>
      </c>
    </row>
    <row r="48" spans="1:10" x14ac:dyDescent="0.25">
      <c r="A48">
        <v>16</v>
      </c>
      <c r="B48" s="28">
        <v>10</v>
      </c>
      <c r="C48" s="23">
        <v>170</v>
      </c>
      <c r="D48">
        <v>26</v>
      </c>
      <c r="E48" s="24">
        <v>170</v>
      </c>
      <c r="F48" s="28">
        <v>5</v>
      </c>
      <c r="G48" s="23">
        <f t="shared" si="0"/>
        <v>28</v>
      </c>
      <c r="H48" s="23">
        <f t="shared" si="1"/>
        <v>116</v>
      </c>
      <c r="I48" s="34">
        <f t="shared" si="2"/>
        <v>56.920997883030829</v>
      </c>
      <c r="J48" s="35">
        <f t="shared" si="3"/>
        <v>54.037024344425184</v>
      </c>
    </row>
    <row r="49" spans="1:10" x14ac:dyDescent="0.25">
      <c r="A49">
        <v>17</v>
      </c>
      <c r="B49" s="28">
        <v>10</v>
      </c>
      <c r="C49" s="23">
        <v>168</v>
      </c>
      <c r="D49">
        <v>26</v>
      </c>
      <c r="E49" s="24">
        <v>168</v>
      </c>
      <c r="F49" s="28">
        <v>5</v>
      </c>
      <c r="G49" s="23">
        <f t="shared" si="0"/>
        <v>28</v>
      </c>
      <c r="H49" s="23">
        <f t="shared" si="1"/>
        <v>116</v>
      </c>
      <c r="I49" s="34">
        <f t="shared" si="2"/>
        <v>55.027265968790417</v>
      </c>
      <c r="J49" s="35">
        <f t="shared" si="3"/>
        <v>52.038447325030752</v>
      </c>
    </row>
    <row r="50" spans="1:10" x14ac:dyDescent="0.25">
      <c r="A50">
        <v>18</v>
      </c>
      <c r="B50" s="28">
        <v>10</v>
      </c>
      <c r="C50" s="23">
        <v>166</v>
      </c>
      <c r="D50">
        <v>26</v>
      </c>
      <c r="E50" s="24">
        <v>166</v>
      </c>
      <c r="F50" s="28">
        <v>4</v>
      </c>
      <c r="G50" s="23">
        <f>$F$26</f>
        <v>28</v>
      </c>
      <c r="H50" s="27">
        <f>$F$27</f>
        <v>112</v>
      </c>
      <c r="I50" s="34">
        <f t="shared" si="2"/>
        <v>56.920997883030829</v>
      </c>
      <c r="J50" s="35">
        <f t="shared" si="3"/>
        <v>54.037024344425184</v>
      </c>
    </row>
    <row r="51" spans="1:10" x14ac:dyDescent="0.25">
      <c r="A51">
        <v>19</v>
      </c>
      <c r="B51" s="28">
        <v>10</v>
      </c>
      <c r="C51" s="23">
        <v>164</v>
      </c>
      <c r="D51">
        <v>26</v>
      </c>
      <c r="E51" s="24">
        <v>164</v>
      </c>
      <c r="F51" s="28">
        <v>4</v>
      </c>
      <c r="G51" s="23">
        <f t="shared" ref="G51:G68" si="4">$F$26</f>
        <v>28</v>
      </c>
      <c r="H51" s="27">
        <f t="shared" ref="H51:H68" si="5">$F$27</f>
        <v>112</v>
      </c>
      <c r="I51" s="34">
        <f t="shared" si="2"/>
        <v>55.027265968790417</v>
      </c>
      <c r="J51" s="35">
        <f t="shared" si="3"/>
        <v>52.038447325030752</v>
      </c>
    </row>
    <row r="52" spans="1:10" x14ac:dyDescent="0.25">
      <c r="A52">
        <v>20</v>
      </c>
      <c r="B52" s="28">
        <v>10</v>
      </c>
      <c r="C52" s="23">
        <v>162</v>
      </c>
      <c r="D52">
        <v>26</v>
      </c>
      <c r="E52" s="24">
        <v>162</v>
      </c>
      <c r="F52" s="28">
        <v>4</v>
      </c>
      <c r="G52" s="23">
        <f t="shared" si="4"/>
        <v>28</v>
      </c>
      <c r="H52" s="27">
        <f t="shared" si="5"/>
        <v>112</v>
      </c>
      <c r="I52" s="34">
        <f t="shared" si="2"/>
        <v>53.141321022345693</v>
      </c>
      <c r="J52" s="35">
        <f t="shared" si="3"/>
        <v>50.039984012787215</v>
      </c>
    </row>
    <row r="53" spans="1:10" x14ac:dyDescent="0.25">
      <c r="A53">
        <v>21</v>
      </c>
      <c r="B53" s="28">
        <v>10</v>
      </c>
      <c r="C53" s="23">
        <v>160</v>
      </c>
      <c r="D53">
        <v>26</v>
      </c>
      <c r="E53" s="24">
        <v>160</v>
      </c>
      <c r="F53" s="28">
        <v>4</v>
      </c>
      <c r="G53" s="23">
        <f t="shared" si="4"/>
        <v>28</v>
      </c>
      <c r="H53" s="27">
        <f t="shared" si="5"/>
        <v>112</v>
      </c>
      <c r="I53" s="34">
        <f t="shared" si="2"/>
        <v>51.264022471905186</v>
      </c>
      <c r="J53" s="35">
        <f t="shared" si="3"/>
        <v>48.041648597857254</v>
      </c>
    </row>
    <row r="54" spans="1:10" x14ac:dyDescent="0.25">
      <c r="A54">
        <v>22</v>
      </c>
      <c r="B54" s="28">
        <v>10</v>
      </c>
      <c r="C54" s="23">
        <v>158</v>
      </c>
      <c r="D54">
        <v>26</v>
      </c>
      <c r="E54" s="24">
        <v>158</v>
      </c>
      <c r="F54" s="28">
        <v>4</v>
      </c>
      <c r="G54" s="23">
        <f t="shared" si="4"/>
        <v>28</v>
      </c>
      <c r="H54" s="27">
        <f t="shared" si="5"/>
        <v>112</v>
      </c>
      <c r="I54" s="34">
        <f t="shared" si="2"/>
        <v>49.396356140913873</v>
      </c>
      <c r="J54" s="35">
        <f t="shared" si="3"/>
        <v>46.043457732885351</v>
      </c>
    </row>
    <row r="55" spans="1:10" x14ac:dyDescent="0.25">
      <c r="A55">
        <v>23</v>
      </c>
      <c r="B55" s="28">
        <v>10</v>
      </c>
      <c r="C55" s="23">
        <v>156</v>
      </c>
      <c r="D55">
        <v>26</v>
      </c>
      <c r="E55" s="24">
        <v>156</v>
      </c>
      <c r="F55" s="28">
        <v>4</v>
      </c>
      <c r="G55" s="23">
        <f t="shared" si="4"/>
        <v>28</v>
      </c>
      <c r="H55" s="27">
        <f t="shared" si="5"/>
        <v>112</v>
      </c>
      <c r="I55" s="34">
        <f t="shared" si="2"/>
        <v>47.539457296018853</v>
      </c>
      <c r="J55" s="35">
        <f t="shared" si="3"/>
        <v>44.045431091090478</v>
      </c>
    </row>
    <row r="56" spans="1:10" x14ac:dyDescent="0.25">
      <c r="A56">
        <v>24</v>
      </c>
      <c r="B56" s="28">
        <v>10</v>
      </c>
      <c r="C56" s="23">
        <v>154</v>
      </c>
      <c r="D56">
        <v>26</v>
      </c>
      <c r="E56" s="24">
        <v>154</v>
      </c>
      <c r="F56" s="28">
        <v>4</v>
      </c>
      <c r="G56" s="23">
        <f t="shared" si="4"/>
        <v>28</v>
      </c>
      <c r="H56" s="27">
        <f t="shared" si="5"/>
        <v>112</v>
      </c>
      <c r="I56" s="34">
        <f t="shared" si="2"/>
        <v>45.694638635183452</v>
      </c>
      <c r="J56" s="35">
        <f t="shared" si="3"/>
        <v>42.047592083257278</v>
      </c>
    </row>
    <row r="57" spans="1:10" x14ac:dyDescent="0.25">
      <c r="A57">
        <v>25</v>
      </c>
      <c r="B57" s="28">
        <v>10</v>
      </c>
      <c r="C57" s="23">
        <v>152</v>
      </c>
      <c r="D57">
        <v>26</v>
      </c>
      <c r="E57" s="24">
        <v>152</v>
      </c>
      <c r="F57" s="28">
        <v>4</v>
      </c>
      <c r="G57" s="23">
        <f t="shared" si="4"/>
        <v>28</v>
      </c>
      <c r="H57" s="27">
        <f t="shared" si="5"/>
        <v>112</v>
      </c>
      <c r="I57" s="34">
        <f t="shared" si="2"/>
        <v>43.863424398922618</v>
      </c>
      <c r="J57" s="35">
        <f t="shared" si="3"/>
        <v>40.049968789001575</v>
      </c>
    </row>
    <row r="58" spans="1:10" x14ac:dyDescent="0.25">
      <c r="A58">
        <v>26</v>
      </c>
      <c r="B58" s="28">
        <v>10</v>
      </c>
      <c r="C58" s="23">
        <v>150</v>
      </c>
      <c r="D58">
        <v>26</v>
      </c>
      <c r="E58" s="24">
        <v>150</v>
      </c>
      <c r="F58" s="28">
        <v>4</v>
      </c>
      <c r="G58" s="23">
        <f t="shared" si="4"/>
        <v>28</v>
      </c>
      <c r="H58" s="27">
        <f t="shared" si="5"/>
        <v>112</v>
      </c>
      <c r="I58" s="34">
        <f t="shared" si="2"/>
        <v>42.047592083257278</v>
      </c>
      <c r="J58" s="35">
        <f t="shared" si="3"/>
        <v>38.052595180880893</v>
      </c>
    </row>
    <row r="59" spans="1:10" x14ac:dyDescent="0.25">
      <c r="A59">
        <v>27</v>
      </c>
      <c r="B59" s="28">
        <v>10</v>
      </c>
      <c r="C59" s="23">
        <v>148</v>
      </c>
      <c r="D59">
        <v>26</v>
      </c>
      <c r="E59" s="24">
        <v>148</v>
      </c>
      <c r="F59" s="28">
        <v>4</v>
      </c>
      <c r="G59" s="23">
        <f t="shared" si="4"/>
        <v>28</v>
      </c>
      <c r="H59" s="27">
        <f t="shared" si="5"/>
        <v>112</v>
      </c>
      <c r="I59" s="34">
        <f t="shared" si="2"/>
        <v>40.249223594996216</v>
      </c>
      <c r="J59" s="35">
        <f t="shared" si="3"/>
        <v>36.055512754639892</v>
      </c>
    </row>
    <row r="60" spans="1:10" x14ac:dyDescent="0.25">
      <c r="A60">
        <v>28</v>
      </c>
      <c r="B60" s="28">
        <v>10</v>
      </c>
      <c r="C60" s="23">
        <v>146</v>
      </c>
      <c r="D60">
        <v>26</v>
      </c>
      <c r="E60" s="24">
        <v>146</v>
      </c>
      <c r="F60" s="28">
        <v>4</v>
      </c>
      <c r="G60" s="23">
        <f t="shared" si="4"/>
        <v>28</v>
      </c>
      <c r="H60" s="27">
        <f t="shared" si="5"/>
        <v>112</v>
      </c>
      <c r="I60" s="34">
        <f t="shared" si="2"/>
        <v>38.470768123342687</v>
      </c>
      <c r="J60" s="35">
        <f t="shared" si="3"/>
        <v>34.058772731852805</v>
      </c>
    </row>
    <row r="61" spans="1:10" x14ac:dyDescent="0.25">
      <c r="A61">
        <v>29</v>
      </c>
      <c r="B61" s="28">
        <v>10</v>
      </c>
      <c r="C61" s="23">
        <v>144</v>
      </c>
      <c r="D61">
        <v>26</v>
      </c>
      <c r="E61" s="24">
        <v>144</v>
      </c>
      <c r="F61" s="28">
        <v>4</v>
      </c>
      <c r="G61" s="23">
        <f t="shared" si="4"/>
        <v>28</v>
      </c>
      <c r="H61" s="27">
        <f t="shared" si="5"/>
        <v>112</v>
      </c>
      <c r="I61" s="34">
        <f t="shared" si="2"/>
        <v>36.715119501371639</v>
      </c>
      <c r="J61" s="35">
        <f t="shared" si="3"/>
        <v>32.062439083762797</v>
      </c>
    </row>
    <row r="62" spans="1:10" x14ac:dyDescent="0.25">
      <c r="A62">
        <v>30</v>
      </c>
      <c r="B62" s="28">
        <v>10</v>
      </c>
      <c r="C62" s="23">
        <v>142</v>
      </c>
      <c r="D62">
        <v>26</v>
      </c>
      <c r="E62" s="24">
        <v>142</v>
      </c>
      <c r="F62" s="28">
        <v>4</v>
      </c>
      <c r="G62" s="23">
        <f t="shared" si="4"/>
        <v>28</v>
      </c>
      <c r="H62" s="27">
        <f t="shared" si="5"/>
        <v>112</v>
      </c>
      <c r="I62" s="34">
        <f t="shared" si="2"/>
        <v>34.985711369071801</v>
      </c>
      <c r="J62" s="35">
        <f t="shared" si="3"/>
        <v>30.066592756745816</v>
      </c>
    </row>
    <row r="63" spans="1:10" x14ac:dyDescent="0.25">
      <c r="A63">
        <v>31</v>
      </c>
      <c r="B63" s="28">
        <v>10</v>
      </c>
      <c r="C63" s="23">
        <v>140</v>
      </c>
      <c r="D63">
        <v>26</v>
      </c>
      <c r="E63" s="24">
        <v>140</v>
      </c>
      <c r="F63" s="28">
        <v>4</v>
      </c>
      <c r="G63" s="23">
        <f t="shared" si="4"/>
        <v>28</v>
      </c>
      <c r="H63" s="27">
        <f t="shared" si="5"/>
        <v>112</v>
      </c>
      <c r="I63" s="34">
        <f t="shared" si="2"/>
        <v>33.286633954186478</v>
      </c>
      <c r="J63" s="35">
        <f t="shared" si="3"/>
        <v>28.071337695236398</v>
      </c>
    </row>
    <row r="64" spans="1:10" x14ac:dyDescent="0.25">
      <c r="A64">
        <v>32</v>
      </c>
      <c r="B64" s="28">
        <v>10</v>
      </c>
      <c r="C64" s="23">
        <v>138</v>
      </c>
      <c r="D64">
        <v>26</v>
      </c>
      <c r="E64" s="24">
        <v>138</v>
      </c>
      <c r="F64" s="28">
        <v>4</v>
      </c>
      <c r="G64" s="23">
        <f t="shared" si="4"/>
        <v>28</v>
      </c>
      <c r="H64" s="27">
        <f t="shared" si="5"/>
        <v>112</v>
      </c>
      <c r="I64" s="34">
        <f t="shared" si="2"/>
        <v>31.622776601683793</v>
      </c>
      <c r="J64" s="35">
        <f t="shared" si="3"/>
        <v>26.076809620810597</v>
      </c>
    </row>
    <row r="65" spans="1:10" x14ac:dyDescent="0.25">
      <c r="A65">
        <v>33</v>
      </c>
      <c r="B65" s="28">
        <v>10</v>
      </c>
      <c r="C65" s="23">
        <v>136</v>
      </c>
      <c r="D65">
        <v>26</v>
      </c>
      <c r="E65" s="24">
        <v>136</v>
      </c>
      <c r="F65" s="28">
        <v>4</v>
      </c>
      <c r="G65" s="23">
        <f t="shared" si="4"/>
        <v>28</v>
      </c>
      <c r="H65" s="27">
        <f t="shared" si="5"/>
        <v>112</v>
      </c>
      <c r="I65" s="34">
        <f t="shared" si="2"/>
        <v>30</v>
      </c>
      <c r="J65" s="35">
        <f t="shared" si="3"/>
        <v>24.083189157584592</v>
      </c>
    </row>
    <row r="66" spans="1:10" x14ac:dyDescent="0.25">
      <c r="A66">
        <v>34</v>
      </c>
      <c r="B66" s="28">
        <v>10</v>
      </c>
      <c r="C66" s="23">
        <v>134</v>
      </c>
      <c r="D66">
        <v>26</v>
      </c>
      <c r="E66" s="24">
        <v>134</v>
      </c>
      <c r="F66" s="28">
        <v>4</v>
      </c>
      <c r="G66" s="23">
        <f t="shared" si="4"/>
        <v>28</v>
      </c>
      <c r="H66" s="27">
        <f t="shared" si="5"/>
        <v>112</v>
      </c>
      <c r="I66" s="34">
        <f t="shared" si="2"/>
        <v>28.42534080710379</v>
      </c>
      <c r="J66" s="35">
        <f t="shared" si="3"/>
        <v>22.090722034374522</v>
      </c>
    </row>
    <row r="67" spans="1:10" x14ac:dyDescent="0.25">
      <c r="A67">
        <v>35</v>
      </c>
      <c r="B67" s="28">
        <v>10</v>
      </c>
      <c r="C67" s="23">
        <v>132</v>
      </c>
      <c r="D67">
        <v>26</v>
      </c>
      <c r="E67" s="24">
        <v>132</v>
      </c>
      <c r="F67" s="28">
        <v>4</v>
      </c>
      <c r="G67" s="23">
        <f t="shared" si="4"/>
        <v>28</v>
      </c>
      <c r="H67" s="27">
        <f t="shared" si="5"/>
        <v>112</v>
      </c>
      <c r="I67" s="34">
        <f t="shared" si="2"/>
        <v>26.90724809414742</v>
      </c>
      <c r="J67" s="35">
        <f t="shared" si="3"/>
        <v>20.09975124224178</v>
      </c>
    </row>
    <row r="68" spans="1:10" x14ac:dyDescent="0.25">
      <c r="A68">
        <v>36</v>
      </c>
      <c r="B68" s="28">
        <v>10</v>
      </c>
      <c r="C68" s="23">
        <v>130</v>
      </c>
      <c r="D68">
        <v>26</v>
      </c>
      <c r="E68" s="24">
        <v>130</v>
      </c>
      <c r="F68" s="28">
        <v>4</v>
      </c>
      <c r="G68" s="23">
        <f t="shared" si="4"/>
        <v>28</v>
      </c>
      <c r="H68" s="27">
        <f t="shared" si="5"/>
        <v>112</v>
      </c>
      <c r="I68" s="34">
        <f t="shared" si="2"/>
        <v>25.45584412271571</v>
      </c>
      <c r="J68" s="35">
        <f t="shared" si="3"/>
        <v>18.110770276274835</v>
      </c>
    </row>
    <row r="69" spans="1:10" x14ac:dyDescent="0.25">
      <c r="A69">
        <v>37</v>
      </c>
      <c r="B69" s="28">
        <v>10</v>
      </c>
      <c r="C69" s="23">
        <v>128</v>
      </c>
      <c r="D69">
        <v>26</v>
      </c>
      <c r="E69" s="24">
        <v>128</v>
      </c>
      <c r="F69" s="28">
        <v>3</v>
      </c>
      <c r="G69" s="23">
        <f>$E$26</f>
        <v>28</v>
      </c>
      <c r="H69" s="23">
        <f>$E$27</f>
        <v>108</v>
      </c>
      <c r="I69" s="34">
        <f t="shared" si="2"/>
        <v>26.90724809414742</v>
      </c>
      <c r="J69" s="35">
        <f t="shared" si="3"/>
        <v>20.09975124224178</v>
      </c>
    </row>
    <row r="70" spans="1:10" x14ac:dyDescent="0.25">
      <c r="A70">
        <v>38</v>
      </c>
      <c r="B70" s="28">
        <v>10</v>
      </c>
      <c r="C70" s="23">
        <v>126</v>
      </c>
      <c r="D70">
        <v>26</v>
      </c>
      <c r="E70" s="24">
        <v>126</v>
      </c>
      <c r="F70" s="28">
        <v>3</v>
      </c>
      <c r="G70" s="23">
        <f t="shared" ref="G70:G86" si="6">$E$26</f>
        <v>28</v>
      </c>
      <c r="H70" s="23">
        <f t="shared" ref="H70:H86" si="7">$E$27</f>
        <v>108</v>
      </c>
      <c r="I70" s="34">
        <f t="shared" si="2"/>
        <v>25.45584412271571</v>
      </c>
      <c r="J70" s="35">
        <f t="shared" si="3"/>
        <v>18.110770276274835</v>
      </c>
    </row>
    <row r="71" spans="1:10" x14ac:dyDescent="0.25">
      <c r="A71">
        <v>39</v>
      </c>
      <c r="B71" s="28">
        <v>10</v>
      </c>
      <c r="C71" s="23">
        <v>124</v>
      </c>
      <c r="D71">
        <v>26</v>
      </c>
      <c r="E71" s="24">
        <v>124</v>
      </c>
      <c r="F71" s="28">
        <v>3</v>
      </c>
      <c r="G71" s="23">
        <f t="shared" si="6"/>
        <v>28</v>
      </c>
      <c r="H71" s="23">
        <f t="shared" si="7"/>
        <v>108</v>
      </c>
      <c r="I71" s="34">
        <f t="shared" si="2"/>
        <v>24.083189157584592</v>
      </c>
      <c r="J71" s="35">
        <f t="shared" si="3"/>
        <v>16.124515496597098</v>
      </c>
    </row>
    <row r="72" spans="1:10" x14ac:dyDescent="0.25">
      <c r="A72">
        <v>40</v>
      </c>
      <c r="B72" s="28">
        <v>10</v>
      </c>
      <c r="C72" s="23">
        <v>122</v>
      </c>
      <c r="D72">
        <v>26</v>
      </c>
      <c r="E72" s="24">
        <v>122</v>
      </c>
      <c r="F72" s="28">
        <v>3</v>
      </c>
      <c r="G72" s="23">
        <f t="shared" si="6"/>
        <v>28</v>
      </c>
      <c r="H72" s="23">
        <f t="shared" si="7"/>
        <v>108</v>
      </c>
      <c r="I72" s="34">
        <f t="shared" si="2"/>
        <v>22.803508501982758</v>
      </c>
      <c r="J72" s="35">
        <f t="shared" si="3"/>
        <v>14.142135623730951</v>
      </c>
    </row>
    <row r="73" spans="1:10" x14ac:dyDescent="0.25">
      <c r="A73">
        <v>41</v>
      </c>
      <c r="B73" s="28">
        <v>10</v>
      </c>
      <c r="C73" s="23">
        <v>120</v>
      </c>
      <c r="D73">
        <v>26</v>
      </c>
      <c r="E73" s="24">
        <v>120</v>
      </c>
      <c r="F73" s="28">
        <v>3</v>
      </c>
      <c r="G73" s="23">
        <f t="shared" si="6"/>
        <v>28</v>
      </c>
      <c r="H73" s="23">
        <f t="shared" si="7"/>
        <v>108</v>
      </c>
      <c r="I73" s="34">
        <f t="shared" si="2"/>
        <v>21.633307652783937</v>
      </c>
      <c r="J73" s="35">
        <f t="shared" si="3"/>
        <v>12.165525060596439</v>
      </c>
    </row>
    <row r="74" spans="1:10" x14ac:dyDescent="0.25">
      <c r="A74">
        <v>42</v>
      </c>
      <c r="B74" s="28">
        <v>10</v>
      </c>
      <c r="C74" s="23">
        <v>118</v>
      </c>
      <c r="D74">
        <v>26</v>
      </c>
      <c r="E74" s="24">
        <v>118</v>
      </c>
      <c r="F74" s="28">
        <v>3</v>
      </c>
      <c r="G74" s="23">
        <f t="shared" si="6"/>
        <v>28</v>
      </c>
      <c r="H74" s="23">
        <f t="shared" si="7"/>
        <v>108</v>
      </c>
      <c r="I74" s="34">
        <f t="shared" si="2"/>
        <v>20.591260281974002</v>
      </c>
      <c r="J74" s="35">
        <f t="shared" si="3"/>
        <v>10.198039027185569</v>
      </c>
    </row>
    <row r="75" spans="1:10" x14ac:dyDescent="0.25">
      <c r="A75">
        <v>43</v>
      </c>
      <c r="B75" s="28">
        <v>10</v>
      </c>
      <c r="C75" s="23">
        <v>116</v>
      </c>
      <c r="D75">
        <v>26</v>
      </c>
      <c r="E75" s="24">
        <v>116</v>
      </c>
      <c r="F75" s="28">
        <v>3</v>
      </c>
      <c r="G75" s="23">
        <f t="shared" si="6"/>
        <v>28</v>
      </c>
      <c r="H75" s="23">
        <f t="shared" si="7"/>
        <v>108</v>
      </c>
      <c r="I75" s="34">
        <f t="shared" si="2"/>
        <v>19.697715603592208</v>
      </c>
      <c r="J75" s="35">
        <f t="shared" si="3"/>
        <v>8.2462112512353212</v>
      </c>
    </row>
    <row r="76" spans="1:10" x14ac:dyDescent="0.25">
      <c r="A76">
        <v>44</v>
      </c>
      <c r="B76" s="28">
        <v>10</v>
      </c>
      <c r="C76" s="23">
        <v>114</v>
      </c>
      <c r="D76">
        <v>26</v>
      </c>
      <c r="E76" s="24">
        <v>114</v>
      </c>
      <c r="F76" s="28">
        <v>3</v>
      </c>
      <c r="G76" s="23">
        <f t="shared" si="6"/>
        <v>28</v>
      </c>
      <c r="H76" s="23">
        <f t="shared" si="7"/>
        <v>108</v>
      </c>
      <c r="I76" s="34">
        <f t="shared" si="2"/>
        <v>18.973665961010276</v>
      </c>
      <c r="J76" s="35">
        <f t="shared" si="3"/>
        <v>6.324555320336759</v>
      </c>
    </row>
    <row r="77" spans="1:10" x14ac:dyDescent="0.25">
      <c r="A77">
        <v>45</v>
      </c>
      <c r="B77" s="28">
        <v>10</v>
      </c>
      <c r="C77" s="23">
        <v>112</v>
      </c>
      <c r="D77">
        <v>26</v>
      </c>
      <c r="E77" s="24">
        <v>112</v>
      </c>
      <c r="F77" s="28">
        <v>3</v>
      </c>
      <c r="G77" s="23">
        <f t="shared" si="6"/>
        <v>28</v>
      </c>
      <c r="H77" s="23">
        <f t="shared" si="7"/>
        <v>108</v>
      </c>
      <c r="I77" s="34">
        <f t="shared" si="2"/>
        <v>18.439088914585774</v>
      </c>
      <c r="J77" s="35">
        <f t="shared" si="3"/>
        <v>4.4721359549995796</v>
      </c>
    </row>
    <row r="78" spans="1:10" x14ac:dyDescent="0.25">
      <c r="A78">
        <v>46</v>
      </c>
      <c r="B78" s="28">
        <v>10</v>
      </c>
      <c r="C78" s="23">
        <v>110</v>
      </c>
      <c r="D78">
        <v>26</v>
      </c>
      <c r="E78" s="24">
        <v>110</v>
      </c>
      <c r="F78" s="28">
        <v>3</v>
      </c>
      <c r="G78" s="23">
        <f t="shared" si="6"/>
        <v>28</v>
      </c>
      <c r="H78" s="23">
        <f t="shared" si="7"/>
        <v>108</v>
      </c>
      <c r="I78" s="34">
        <f t="shared" si="2"/>
        <v>18.110770276274835</v>
      </c>
      <c r="J78" s="35">
        <f t="shared" si="3"/>
        <v>2.8284271247461903</v>
      </c>
    </row>
    <row r="79" spans="1:10" x14ac:dyDescent="0.25">
      <c r="A79">
        <v>47</v>
      </c>
      <c r="B79" s="28">
        <v>10</v>
      </c>
      <c r="C79" s="23">
        <v>108</v>
      </c>
      <c r="D79">
        <v>26</v>
      </c>
      <c r="E79" s="24">
        <v>108</v>
      </c>
      <c r="F79" s="28">
        <v>3</v>
      </c>
      <c r="G79" s="23">
        <f t="shared" si="6"/>
        <v>28</v>
      </c>
      <c r="H79" s="23">
        <f t="shared" si="7"/>
        <v>108</v>
      </c>
      <c r="I79" s="34">
        <f t="shared" si="2"/>
        <v>18</v>
      </c>
      <c r="J79" s="35">
        <f t="shared" si="3"/>
        <v>2</v>
      </c>
    </row>
    <row r="80" spans="1:10" x14ac:dyDescent="0.25">
      <c r="A80">
        <v>48</v>
      </c>
      <c r="B80" s="28">
        <v>10</v>
      </c>
      <c r="C80" s="23">
        <v>106</v>
      </c>
      <c r="D80">
        <v>26</v>
      </c>
      <c r="E80" s="24">
        <v>106</v>
      </c>
      <c r="F80" s="28">
        <v>3</v>
      </c>
      <c r="G80" s="23">
        <f t="shared" si="6"/>
        <v>28</v>
      </c>
      <c r="H80" s="23">
        <f t="shared" si="7"/>
        <v>108</v>
      </c>
      <c r="I80" s="34">
        <f t="shared" si="2"/>
        <v>18.110770276274835</v>
      </c>
      <c r="J80" s="35">
        <f t="shared" si="3"/>
        <v>2.8284271247461903</v>
      </c>
    </row>
    <row r="81" spans="1:10" x14ac:dyDescent="0.25">
      <c r="A81">
        <v>49</v>
      </c>
      <c r="B81" s="28">
        <v>10</v>
      </c>
      <c r="C81" s="23">
        <v>104</v>
      </c>
      <c r="D81">
        <v>26</v>
      </c>
      <c r="E81" s="24">
        <v>104</v>
      </c>
      <c r="F81" s="28">
        <v>3</v>
      </c>
      <c r="G81" s="23">
        <f t="shared" si="6"/>
        <v>28</v>
      </c>
      <c r="H81" s="23">
        <f t="shared" si="7"/>
        <v>108</v>
      </c>
      <c r="I81" s="34">
        <f t="shared" si="2"/>
        <v>18.439088914585774</v>
      </c>
      <c r="J81" s="35">
        <f t="shared" si="3"/>
        <v>4.4721359549995796</v>
      </c>
    </row>
    <row r="82" spans="1:10" x14ac:dyDescent="0.25">
      <c r="A82">
        <v>50</v>
      </c>
      <c r="B82" s="28">
        <v>10</v>
      </c>
      <c r="C82" s="23">
        <v>102</v>
      </c>
      <c r="D82">
        <v>26</v>
      </c>
      <c r="E82" s="24">
        <v>102</v>
      </c>
      <c r="F82" s="28">
        <v>3</v>
      </c>
      <c r="G82" s="23">
        <f t="shared" si="6"/>
        <v>28</v>
      </c>
      <c r="H82" s="23">
        <f t="shared" si="7"/>
        <v>108</v>
      </c>
      <c r="I82" s="34">
        <f t="shared" si="2"/>
        <v>18.973665961010276</v>
      </c>
      <c r="J82" s="35">
        <f t="shared" si="3"/>
        <v>6.324555320336759</v>
      </c>
    </row>
    <row r="83" spans="1:10" x14ac:dyDescent="0.25">
      <c r="A83">
        <v>51</v>
      </c>
      <c r="B83" s="28">
        <v>10</v>
      </c>
      <c r="C83" s="23">
        <v>100</v>
      </c>
      <c r="D83">
        <v>26</v>
      </c>
      <c r="E83" s="24">
        <v>100</v>
      </c>
      <c r="F83" s="28">
        <v>3</v>
      </c>
      <c r="G83" s="23">
        <f t="shared" si="6"/>
        <v>28</v>
      </c>
      <c r="H83" s="23">
        <f t="shared" si="7"/>
        <v>108</v>
      </c>
      <c r="I83" s="34">
        <f t="shared" si="2"/>
        <v>19.697715603592208</v>
      </c>
      <c r="J83" s="35">
        <f t="shared" si="3"/>
        <v>8.2462112512353212</v>
      </c>
    </row>
    <row r="84" spans="1:10" x14ac:dyDescent="0.25">
      <c r="A84">
        <v>52</v>
      </c>
      <c r="B84" s="28">
        <v>10</v>
      </c>
      <c r="C84" s="23">
        <v>98</v>
      </c>
      <c r="D84">
        <v>26</v>
      </c>
      <c r="E84" s="24">
        <v>98</v>
      </c>
      <c r="F84" s="28">
        <v>3</v>
      </c>
      <c r="G84" s="23">
        <f t="shared" si="6"/>
        <v>28</v>
      </c>
      <c r="H84" s="23">
        <f t="shared" si="7"/>
        <v>108</v>
      </c>
      <c r="I84" s="34">
        <f t="shared" si="2"/>
        <v>20.591260281974002</v>
      </c>
      <c r="J84" s="35">
        <f t="shared" si="3"/>
        <v>10.198039027185569</v>
      </c>
    </row>
    <row r="85" spans="1:10" x14ac:dyDescent="0.25">
      <c r="A85">
        <v>53</v>
      </c>
      <c r="B85" s="28">
        <v>10</v>
      </c>
      <c r="C85" s="23">
        <v>96</v>
      </c>
      <c r="D85">
        <v>26</v>
      </c>
      <c r="E85" s="24">
        <v>96</v>
      </c>
      <c r="F85" s="28">
        <v>3</v>
      </c>
      <c r="G85" s="23">
        <f t="shared" si="6"/>
        <v>28</v>
      </c>
      <c r="H85" s="23">
        <f t="shared" si="7"/>
        <v>108</v>
      </c>
      <c r="I85" s="34">
        <f t="shared" si="2"/>
        <v>21.633307652783937</v>
      </c>
      <c r="J85" s="35">
        <f t="shared" si="3"/>
        <v>12.165525060596439</v>
      </c>
    </row>
    <row r="86" spans="1:10" x14ac:dyDescent="0.25">
      <c r="A86">
        <v>54</v>
      </c>
      <c r="B86" s="28">
        <v>10</v>
      </c>
      <c r="C86" s="23">
        <v>94</v>
      </c>
      <c r="D86">
        <v>26</v>
      </c>
      <c r="E86" s="24">
        <v>94</v>
      </c>
      <c r="F86" s="28">
        <v>3</v>
      </c>
      <c r="G86" s="23">
        <f t="shared" si="6"/>
        <v>28</v>
      </c>
      <c r="H86" s="23">
        <f t="shared" si="7"/>
        <v>108</v>
      </c>
      <c r="I86" s="34">
        <f t="shared" si="2"/>
        <v>22.803508501982758</v>
      </c>
      <c r="J86" s="35">
        <f t="shared" si="3"/>
        <v>14.142135623730951</v>
      </c>
    </row>
    <row r="87" spans="1:10" x14ac:dyDescent="0.25">
      <c r="A87">
        <v>55</v>
      </c>
      <c r="B87" s="28">
        <v>10</v>
      </c>
      <c r="C87" s="23">
        <v>92</v>
      </c>
      <c r="D87">
        <v>26</v>
      </c>
      <c r="E87" s="24">
        <v>92</v>
      </c>
      <c r="F87" s="28">
        <v>2</v>
      </c>
      <c r="G87" s="23">
        <f>$D$26</f>
        <v>28</v>
      </c>
      <c r="H87" s="23">
        <f>$D$27</f>
        <v>104</v>
      </c>
      <c r="I87" s="34">
        <f t="shared" si="2"/>
        <v>21.633307652783937</v>
      </c>
      <c r="J87" s="35">
        <f t="shared" si="3"/>
        <v>12.165525060596439</v>
      </c>
    </row>
    <row r="88" spans="1:10" x14ac:dyDescent="0.25">
      <c r="A88">
        <v>56</v>
      </c>
      <c r="B88" s="28">
        <v>10</v>
      </c>
      <c r="C88" s="23">
        <v>90</v>
      </c>
      <c r="D88">
        <v>26</v>
      </c>
      <c r="E88" s="24">
        <v>90</v>
      </c>
      <c r="F88" s="28">
        <v>2</v>
      </c>
      <c r="G88" s="23">
        <f t="shared" ref="G88:G104" si="8">$D$26</f>
        <v>28</v>
      </c>
      <c r="H88" s="23">
        <f t="shared" ref="H88:H104" si="9">$D$27</f>
        <v>104</v>
      </c>
      <c r="I88" s="34">
        <f t="shared" si="2"/>
        <v>22.803508501982758</v>
      </c>
      <c r="J88" s="35">
        <f t="shared" si="3"/>
        <v>14.142135623730951</v>
      </c>
    </row>
    <row r="89" spans="1:10" x14ac:dyDescent="0.25">
      <c r="A89">
        <v>57</v>
      </c>
      <c r="B89" s="28">
        <v>10</v>
      </c>
      <c r="C89" s="23">
        <v>88</v>
      </c>
      <c r="D89">
        <v>26</v>
      </c>
      <c r="E89" s="24">
        <v>88</v>
      </c>
      <c r="F89" s="28">
        <v>2</v>
      </c>
      <c r="G89" s="23">
        <f t="shared" si="8"/>
        <v>28</v>
      </c>
      <c r="H89" s="23">
        <f t="shared" si="9"/>
        <v>104</v>
      </c>
      <c r="I89" s="34">
        <f t="shared" si="2"/>
        <v>24.083189157584592</v>
      </c>
      <c r="J89" s="35">
        <f t="shared" si="3"/>
        <v>16.124515496597098</v>
      </c>
    </row>
    <row r="90" spans="1:10" x14ac:dyDescent="0.25">
      <c r="A90">
        <v>58</v>
      </c>
      <c r="B90" s="28">
        <v>10</v>
      </c>
      <c r="C90" s="23">
        <v>86</v>
      </c>
      <c r="D90">
        <v>26</v>
      </c>
      <c r="E90" s="24">
        <v>86</v>
      </c>
      <c r="F90" s="28">
        <v>2</v>
      </c>
      <c r="G90" s="23">
        <f t="shared" si="8"/>
        <v>28</v>
      </c>
      <c r="H90" s="23">
        <f t="shared" si="9"/>
        <v>104</v>
      </c>
      <c r="I90" s="34">
        <f t="shared" si="2"/>
        <v>25.45584412271571</v>
      </c>
      <c r="J90" s="35">
        <f t="shared" si="3"/>
        <v>18.110770276274835</v>
      </c>
    </row>
    <row r="91" spans="1:10" x14ac:dyDescent="0.25">
      <c r="A91">
        <v>59</v>
      </c>
      <c r="B91" s="28">
        <v>10</v>
      </c>
      <c r="C91" s="23">
        <v>84</v>
      </c>
      <c r="D91">
        <v>26</v>
      </c>
      <c r="E91" s="24">
        <v>84</v>
      </c>
      <c r="F91" s="28">
        <v>2</v>
      </c>
      <c r="G91" s="23">
        <f t="shared" si="8"/>
        <v>28</v>
      </c>
      <c r="H91" s="23">
        <f t="shared" si="9"/>
        <v>104</v>
      </c>
      <c r="I91" s="34">
        <f t="shared" si="2"/>
        <v>26.90724809414742</v>
      </c>
      <c r="J91" s="35">
        <f t="shared" si="3"/>
        <v>20.09975124224178</v>
      </c>
    </row>
    <row r="92" spans="1:10" x14ac:dyDescent="0.25">
      <c r="A92">
        <v>60</v>
      </c>
      <c r="B92" s="28">
        <v>10</v>
      </c>
      <c r="C92" s="23">
        <v>82</v>
      </c>
      <c r="D92">
        <v>26</v>
      </c>
      <c r="E92" s="24">
        <v>82</v>
      </c>
      <c r="F92" s="28">
        <v>2</v>
      </c>
      <c r="G92" s="23">
        <f t="shared" si="8"/>
        <v>28</v>
      </c>
      <c r="H92" s="23">
        <f t="shared" si="9"/>
        <v>104</v>
      </c>
      <c r="I92" s="34">
        <f t="shared" si="2"/>
        <v>28.42534080710379</v>
      </c>
      <c r="J92" s="35">
        <f t="shared" si="3"/>
        <v>22.090722034374522</v>
      </c>
    </row>
    <row r="93" spans="1:10" x14ac:dyDescent="0.25">
      <c r="A93">
        <v>61</v>
      </c>
      <c r="B93" s="28">
        <v>10</v>
      </c>
      <c r="C93" s="23">
        <v>80</v>
      </c>
      <c r="D93">
        <v>26</v>
      </c>
      <c r="E93" s="24">
        <v>80</v>
      </c>
      <c r="F93" s="28">
        <v>2</v>
      </c>
      <c r="G93" s="23">
        <f t="shared" si="8"/>
        <v>28</v>
      </c>
      <c r="H93" s="23">
        <f t="shared" si="9"/>
        <v>104</v>
      </c>
      <c r="I93" s="34">
        <f t="shared" si="2"/>
        <v>30</v>
      </c>
      <c r="J93" s="35">
        <f t="shared" si="3"/>
        <v>24.083189157584592</v>
      </c>
    </row>
    <row r="94" spans="1:10" x14ac:dyDescent="0.25">
      <c r="A94">
        <v>62</v>
      </c>
      <c r="B94" s="28">
        <v>10</v>
      </c>
      <c r="C94" s="23">
        <v>78</v>
      </c>
      <c r="D94">
        <v>26</v>
      </c>
      <c r="E94" s="24">
        <v>78</v>
      </c>
      <c r="F94" s="28">
        <v>2</v>
      </c>
      <c r="G94" s="23">
        <f t="shared" si="8"/>
        <v>28</v>
      </c>
      <c r="H94" s="23">
        <f t="shared" si="9"/>
        <v>104</v>
      </c>
      <c r="I94" s="34">
        <f t="shared" si="2"/>
        <v>31.622776601683793</v>
      </c>
      <c r="J94" s="35">
        <f t="shared" si="3"/>
        <v>26.076809620810597</v>
      </c>
    </row>
    <row r="95" spans="1:10" x14ac:dyDescent="0.25">
      <c r="A95">
        <v>63</v>
      </c>
      <c r="B95" s="28">
        <v>10</v>
      </c>
      <c r="C95" s="23">
        <v>76</v>
      </c>
      <c r="D95">
        <v>26</v>
      </c>
      <c r="E95" s="24">
        <v>76</v>
      </c>
      <c r="F95" s="28">
        <v>2</v>
      </c>
      <c r="G95" s="23">
        <f t="shared" si="8"/>
        <v>28</v>
      </c>
      <c r="H95" s="23">
        <f t="shared" si="9"/>
        <v>104</v>
      </c>
      <c r="I95" s="34">
        <f t="shared" si="2"/>
        <v>33.286633954186478</v>
      </c>
      <c r="J95" s="35">
        <f t="shared" si="3"/>
        <v>28.071337695236398</v>
      </c>
    </row>
    <row r="96" spans="1:10" x14ac:dyDescent="0.25">
      <c r="A96">
        <v>64</v>
      </c>
      <c r="B96" s="28">
        <v>10</v>
      </c>
      <c r="C96" s="23">
        <v>74</v>
      </c>
      <c r="D96">
        <v>26</v>
      </c>
      <c r="E96" s="24">
        <v>74</v>
      </c>
      <c r="F96" s="28">
        <v>2</v>
      </c>
      <c r="G96" s="23">
        <f t="shared" si="8"/>
        <v>28</v>
      </c>
      <c r="H96" s="23">
        <f t="shared" si="9"/>
        <v>104</v>
      </c>
      <c r="I96" s="34">
        <f t="shared" si="2"/>
        <v>34.985711369071801</v>
      </c>
      <c r="J96" s="35">
        <f t="shared" si="3"/>
        <v>30.066592756745816</v>
      </c>
    </row>
    <row r="97" spans="1:10" x14ac:dyDescent="0.25">
      <c r="A97">
        <v>65</v>
      </c>
      <c r="B97" s="28">
        <v>10</v>
      </c>
      <c r="C97" s="23">
        <v>72</v>
      </c>
      <c r="D97">
        <v>26</v>
      </c>
      <c r="E97" s="24">
        <v>72</v>
      </c>
      <c r="F97" s="28">
        <v>2</v>
      </c>
      <c r="G97" s="23">
        <f t="shared" si="8"/>
        <v>28</v>
      </c>
      <c r="H97" s="23">
        <f t="shared" si="9"/>
        <v>104</v>
      </c>
      <c r="I97" s="34">
        <f t="shared" si="2"/>
        <v>36.715119501371639</v>
      </c>
      <c r="J97" s="35">
        <f t="shared" si="3"/>
        <v>32.062439083762797</v>
      </c>
    </row>
    <row r="98" spans="1:10" x14ac:dyDescent="0.25">
      <c r="A98">
        <v>66</v>
      </c>
      <c r="B98" s="28">
        <v>10</v>
      </c>
      <c r="C98" s="23">
        <v>70</v>
      </c>
      <c r="D98">
        <v>26</v>
      </c>
      <c r="E98" s="24">
        <v>70</v>
      </c>
      <c r="F98" s="28">
        <v>2</v>
      </c>
      <c r="G98" s="23">
        <f t="shared" si="8"/>
        <v>28</v>
      </c>
      <c r="H98" s="23">
        <f t="shared" si="9"/>
        <v>104</v>
      </c>
      <c r="I98" s="34">
        <f t="shared" ref="I98:I122" si="10">SQRT((B98-G98)^2+(C98-H98)^2)</f>
        <v>38.470768123342687</v>
      </c>
      <c r="J98" s="35">
        <f t="shared" ref="J98:J122" si="11">SQRT((D98-G98)^2+(E98-H98)^2)</f>
        <v>34.058772731852805</v>
      </c>
    </row>
    <row r="99" spans="1:10" x14ac:dyDescent="0.25">
      <c r="A99">
        <v>67</v>
      </c>
      <c r="B99" s="28">
        <v>10</v>
      </c>
      <c r="C99" s="23">
        <v>68</v>
      </c>
      <c r="D99">
        <v>26</v>
      </c>
      <c r="E99" s="24">
        <v>68</v>
      </c>
      <c r="F99" s="28">
        <v>2</v>
      </c>
      <c r="G99" s="23">
        <f t="shared" si="8"/>
        <v>28</v>
      </c>
      <c r="H99" s="23">
        <f t="shared" si="9"/>
        <v>104</v>
      </c>
      <c r="I99" s="34">
        <f t="shared" si="10"/>
        <v>40.249223594996216</v>
      </c>
      <c r="J99" s="35">
        <f t="shared" si="11"/>
        <v>36.055512754639892</v>
      </c>
    </row>
    <row r="100" spans="1:10" x14ac:dyDescent="0.25">
      <c r="A100">
        <v>68</v>
      </c>
      <c r="B100" s="28">
        <v>10</v>
      </c>
      <c r="C100" s="23">
        <v>66</v>
      </c>
      <c r="D100">
        <v>26</v>
      </c>
      <c r="E100" s="24">
        <v>66</v>
      </c>
      <c r="F100" s="28">
        <v>2</v>
      </c>
      <c r="G100" s="23">
        <f t="shared" si="8"/>
        <v>28</v>
      </c>
      <c r="H100" s="23">
        <f t="shared" si="9"/>
        <v>104</v>
      </c>
      <c r="I100" s="34">
        <f t="shared" si="10"/>
        <v>42.047592083257278</v>
      </c>
      <c r="J100" s="35">
        <f t="shared" si="11"/>
        <v>38.052595180880893</v>
      </c>
    </row>
    <row r="101" spans="1:10" x14ac:dyDescent="0.25">
      <c r="A101">
        <v>69</v>
      </c>
      <c r="B101" s="28">
        <v>10</v>
      </c>
      <c r="C101" s="23">
        <v>64</v>
      </c>
      <c r="D101">
        <v>26</v>
      </c>
      <c r="E101" s="24">
        <v>64</v>
      </c>
      <c r="F101" s="28">
        <v>2</v>
      </c>
      <c r="G101" s="23">
        <f t="shared" si="8"/>
        <v>28</v>
      </c>
      <c r="H101" s="23">
        <f t="shared" si="9"/>
        <v>104</v>
      </c>
      <c r="I101" s="34">
        <f t="shared" si="10"/>
        <v>43.863424398922618</v>
      </c>
      <c r="J101" s="35">
        <f t="shared" si="11"/>
        <v>40.049968789001575</v>
      </c>
    </row>
    <row r="102" spans="1:10" x14ac:dyDescent="0.25">
      <c r="A102">
        <v>70</v>
      </c>
      <c r="B102" s="28">
        <v>10</v>
      </c>
      <c r="C102" s="23">
        <v>62</v>
      </c>
      <c r="D102">
        <v>26</v>
      </c>
      <c r="E102" s="24">
        <v>62</v>
      </c>
      <c r="F102" s="28">
        <v>2</v>
      </c>
      <c r="G102" s="23">
        <f t="shared" si="8"/>
        <v>28</v>
      </c>
      <c r="H102" s="23">
        <f t="shared" si="9"/>
        <v>104</v>
      </c>
      <c r="I102" s="34">
        <f t="shared" si="10"/>
        <v>45.694638635183452</v>
      </c>
      <c r="J102" s="35">
        <f t="shared" si="11"/>
        <v>42.047592083257278</v>
      </c>
    </row>
    <row r="103" spans="1:10" x14ac:dyDescent="0.25">
      <c r="A103">
        <v>71</v>
      </c>
      <c r="B103" s="28">
        <v>10</v>
      </c>
      <c r="C103" s="23">
        <v>60</v>
      </c>
      <c r="D103">
        <v>26</v>
      </c>
      <c r="E103" s="24">
        <v>60</v>
      </c>
      <c r="F103" s="28">
        <v>2</v>
      </c>
      <c r="G103" s="23">
        <f t="shared" si="8"/>
        <v>28</v>
      </c>
      <c r="H103" s="23">
        <f t="shared" si="9"/>
        <v>104</v>
      </c>
      <c r="I103" s="34">
        <f t="shared" si="10"/>
        <v>47.539457296018853</v>
      </c>
      <c r="J103" s="35">
        <f t="shared" si="11"/>
        <v>44.045431091090478</v>
      </c>
    </row>
    <row r="104" spans="1:10" x14ac:dyDescent="0.25">
      <c r="A104">
        <v>72</v>
      </c>
      <c r="B104" s="28">
        <v>10</v>
      </c>
      <c r="C104" s="23">
        <v>58</v>
      </c>
      <c r="D104">
        <v>26</v>
      </c>
      <c r="E104" s="24">
        <v>58</v>
      </c>
      <c r="F104" s="28">
        <v>2</v>
      </c>
      <c r="G104" s="23">
        <f t="shared" si="8"/>
        <v>28</v>
      </c>
      <c r="H104" s="23">
        <f t="shared" si="9"/>
        <v>104</v>
      </c>
      <c r="I104" s="34">
        <f t="shared" si="10"/>
        <v>49.396356140913873</v>
      </c>
      <c r="J104" s="35">
        <f t="shared" si="11"/>
        <v>46.043457732885351</v>
      </c>
    </row>
    <row r="105" spans="1:10" x14ac:dyDescent="0.25">
      <c r="A105">
        <v>73</v>
      </c>
      <c r="B105" s="28">
        <v>10</v>
      </c>
      <c r="C105" s="23">
        <v>56</v>
      </c>
      <c r="D105">
        <v>26</v>
      </c>
      <c r="E105" s="24">
        <v>56</v>
      </c>
      <c r="F105" s="28">
        <v>1</v>
      </c>
      <c r="G105" s="23">
        <f>$C$26</f>
        <v>28</v>
      </c>
      <c r="H105" s="23">
        <f>$C$27</f>
        <v>100</v>
      </c>
      <c r="I105" s="34">
        <f t="shared" si="10"/>
        <v>47.539457296018853</v>
      </c>
      <c r="J105" s="35">
        <f t="shared" si="11"/>
        <v>44.045431091090478</v>
      </c>
    </row>
    <row r="106" spans="1:10" x14ac:dyDescent="0.25">
      <c r="A106">
        <v>74</v>
      </c>
      <c r="B106" s="28">
        <v>10</v>
      </c>
      <c r="C106" s="23">
        <v>54</v>
      </c>
      <c r="D106">
        <v>26</v>
      </c>
      <c r="E106" s="24">
        <v>54</v>
      </c>
      <c r="F106" s="28">
        <v>1</v>
      </c>
      <c r="G106" s="23">
        <f t="shared" ref="G106:G122" si="12">$C$26</f>
        <v>28</v>
      </c>
      <c r="H106" s="23">
        <f t="shared" ref="H106:H122" si="13">$C$27</f>
        <v>100</v>
      </c>
      <c r="I106" s="34">
        <f t="shared" si="10"/>
        <v>49.396356140913873</v>
      </c>
      <c r="J106" s="35">
        <f t="shared" si="11"/>
        <v>46.043457732885351</v>
      </c>
    </row>
    <row r="107" spans="1:10" x14ac:dyDescent="0.25">
      <c r="A107">
        <v>75</v>
      </c>
      <c r="B107" s="28">
        <v>10</v>
      </c>
      <c r="C107" s="23">
        <v>52</v>
      </c>
      <c r="D107">
        <v>26</v>
      </c>
      <c r="E107" s="24">
        <v>52</v>
      </c>
      <c r="F107" s="28">
        <v>1</v>
      </c>
      <c r="G107" s="23">
        <f t="shared" si="12"/>
        <v>28</v>
      </c>
      <c r="H107" s="23">
        <f t="shared" si="13"/>
        <v>100</v>
      </c>
      <c r="I107" s="34">
        <f t="shared" si="10"/>
        <v>51.264022471905186</v>
      </c>
      <c r="J107" s="35">
        <f t="shared" si="11"/>
        <v>48.041648597857254</v>
      </c>
    </row>
    <row r="108" spans="1:10" x14ac:dyDescent="0.25">
      <c r="A108">
        <v>76</v>
      </c>
      <c r="B108" s="28">
        <v>10</v>
      </c>
      <c r="C108" s="23">
        <v>50</v>
      </c>
      <c r="D108">
        <v>26</v>
      </c>
      <c r="E108" s="24">
        <v>50</v>
      </c>
      <c r="F108" s="28">
        <v>1</v>
      </c>
      <c r="G108" s="23">
        <f t="shared" si="12"/>
        <v>28</v>
      </c>
      <c r="H108" s="23">
        <f t="shared" si="13"/>
        <v>100</v>
      </c>
      <c r="I108" s="34">
        <f t="shared" si="10"/>
        <v>53.141321022345693</v>
      </c>
      <c r="J108" s="35">
        <f t="shared" si="11"/>
        <v>50.039984012787215</v>
      </c>
    </row>
    <row r="109" spans="1:10" x14ac:dyDescent="0.25">
      <c r="A109">
        <v>77</v>
      </c>
      <c r="B109" s="28">
        <v>10</v>
      </c>
      <c r="C109" s="23">
        <v>48</v>
      </c>
      <c r="D109">
        <v>26</v>
      </c>
      <c r="E109" s="24">
        <v>48</v>
      </c>
      <c r="F109" s="28">
        <v>1</v>
      </c>
      <c r="G109" s="23">
        <f t="shared" si="12"/>
        <v>28</v>
      </c>
      <c r="H109" s="23">
        <f t="shared" si="13"/>
        <v>100</v>
      </c>
      <c r="I109" s="34">
        <f t="shared" si="10"/>
        <v>55.027265968790417</v>
      </c>
      <c r="J109" s="35">
        <f t="shared" si="11"/>
        <v>52.038447325030752</v>
      </c>
    </row>
    <row r="110" spans="1:10" x14ac:dyDescent="0.25">
      <c r="A110">
        <v>78</v>
      </c>
      <c r="B110" s="28">
        <v>10</v>
      </c>
      <c r="C110" s="23">
        <v>46</v>
      </c>
      <c r="D110">
        <v>26</v>
      </c>
      <c r="E110" s="24">
        <v>46</v>
      </c>
      <c r="F110" s="28">
        <v>1</v>
      </c>
      <c r="G110" s="23">
        <f t="shared" si="12"/>
        <v>28</v>
      </c>
      <c r="H110" s="23">
        <f t="shared" si="13"/>
        <v>100</v>
      </c>
      <c r="I110" s="34">
        <f t="shared" si="10"/>
        <v>56.920997883030829</v>
      </c>
      <c r="J110" s="35">
        <f t="shared" si="11"/>
        <v>54.037024344425184</v>
      </c>
    </row>
    <row r="111" spans="1:10" x14ac:dyDescent="0.25">
      <c r="A111">
        <v>79</v>
      </c>
      <c r="B111" s="28">
        <v>10</v>
      </c>
      <c r="C111" s="23">
        <v>44</v>
      </c>
      <c r="D111">
        <v>26</v>
      </c>
      <c r="E111" s="24">
        <v>44</v>
      </c>
      <c r="F111" s="28">
        <v>1</v>
      </c>
      <c r="G111" s="23">
        <f t="shared" si="12"/>
        <v>28</v>
      </c>
      <c r="H111" s="23">
        <f t="shared" si="13"/>
        <v>100</v>
      </c>
      <c r="I111" s="34">
        <f t="shared" si="10"/>
        <v>58.821764679410968</v>
      </c>
      <c r="J111" s="35">
        <f t="shared" si="11"/>
        <v>56.0357029044876</v>
      </c>
    </row>
    <row r="112" spans="1:10" x14ac:dyDescent="0.25">
      <c r="A112">
        <v>80</v>
      </c>
      <c r="B112" s="28">
        <v>10</v>
      </c>
      <c r="C112" s="23">
        <v>42</v>
      </c>
      <c r="D112">
        <v>26</v>
      </c>
      <c r="E112" s="24">
        <v>42</v>
      </c>
      <c r="F112" s="28">
        <v>1</v>
      </c>
      <c r="G112" s="23">
        <f t="shared" si="12"/>
        <v>28</v>
      </c>
      <c r="H112" s="23">
        <f t="shared" si="13"/>
        <v>100</v>
      </c>
      <c r="I112" s="34">
        <f t="shared" si="10"/>
        <v>60.728905802755904</v>
      </c>
      <c r="J112" s="35">
        <f t="shared" si="11"/>
        <v>58.034472514187634</v>
      </c>
    </row>
    <row r="113" spans="1:10" x14ac:dyDescent="0.25">
      <c r="A113">
        <v>81</v>
      </c>
      <c r="B113" s="28">
        <v>10</v>
      </c>
      <c r="C113" s="23">
        <v>40</v>
      </c>
      <c r="D113">
        <v>26</v>
      </c>
      <c r="E113" s="24">
        <v>40</v>
      </c>
      <c r="F113" s="28">
        <v>1</v>
      </c>
      <c r="G113" s="23">
        <f t="shared" si="12"/>
        <v>28</v>
      </c>
      <c r="H113" s="23">
        <f t="shared" si="13"/>
        <v>100</v>
      </c>
      <c r="I113" s="34">
        <f t="shared" si="10"/>
        <v>62.641839053463301</v>
      </c>
      <c r="J113" s="35">
        <f t="shared" si="11"/>
        <v>60.033324079214538</v>
      </c>
    </row>
    <row r="114" spans="1:10" x14ac:dyDescent="0.25">
      <c r="A114">
        <v>82</v>
      </c>
      <c r="B114" s="28">
        <v>10</v>
      </c>
      <c r="C114" s="23">
        <v>38</v>
      </c>
      <c r="D114">
        <v>26</v>
      </c>
      <c r="E114" s="24">
        <v>38</v>
      </c>
      <c r="F114" s="28">
        <v>1</v>
      </c>
      <c r="G114" s="23">
        <f t="shared" si="12"/>
        <v>28</v>
      </c>
      <c r="H114" s="23">
        <f t="shared" si="13"/>
        <v>100</v>
      </c>
      <c r="I114" s="34">
        <f t="shared" si="10"/>
        <v>64.560049566275893</v>
      </c>
      <c r="J114" s="35">
        <f t="shared" si="11"/>
        <v>62.032249677083293</v>
      </c>
    </row>
    <row r="115" spans="1:10" x14ac:dyDescent="0.25">
      <c r="A115">
        <v>83</v>
      </c>
      <c r="B115" s="28">
        <v>10</v>
      </c>
      <c r="C115" s="23">
        <v>36</v>
      </c>
      <c r="D115">
        <v>26</v>
      </c>
      <c r="E115" s="24">
        <v>36</v>
      </c>
      <c r="F115" s="28">
        <v>1</v>
      </c>
      <c r="G115" s="23">
        <f t="shared" si="12"/>
        <v>28</v>
      </c>
      <c r="H115" s="23">
        <f t="shared" si="13"/>
        <v>100</v>
      </c>
      <c r="I115" s="34">
        <f t="shared" si="10"/>
        <v>66.483080554378645</v>
      </c>
      <c r="J115" s="35">
        <f t="shared" si="11"/>
        <v>64.031242374328485</v>
      </c>
    </row>
    <row r="116" spans="1:10" x14ac:dyDescent="0.25">
      <c r="A116">
        <v>84</v>
      </c>
      <c r="B116" s="28">
        <v>10</v>
      </c>
      <c r="C116" s="23">
        <v>34</v>
      </c>
      <c r="D116">
        <v>26</v>
      </c>
      <c r="E116" s="24">
        <v>34</v>
      </c>
      <c r="F116" s="28">
        <v>1</v>
      </c>
      <c r="G116" s="23">
        <f t="shared" si="12"/>
        <v>28</v>
      </c>
      <c r="H116" s="23">
        <f t="shared" si="13"/>
        <v>100</v>
      </c>
      <c r="I116" s="34">
        <f t="shared" si="10"/>
        <v>68.410525505948286</v>
      </c>
      <c r="J116" s="35">
        <f t="shared" si="11"/>
        <v>66.030296076876709</v>
      </c>
    </row>
    <row r="117" spans="1:10" x14ac:dyDescent="0.25">
      <c r="A117">
        <v>85</v>
      </c>
      <c r="B117" s="28">
        <v>10</v>
      </c>
      <c r="C117" s="23">
        <v>32</v>
      </c>
      <c r="D117">
        <v>26</v>
      </c>
      <c r="E117" s="24">
        <v>32</v>
      </c>
      <c r="F117" s="28">
        <v>1</v>
      </c>
      <c r="G117" s="23">
        <f t="shared" si="12"/>
        <v>28</v>
      </c>
      <c r="H117" s="23">
        <f t="shared" si="13"/>
        <v>100</v>
      </c>
      <c r="I117" s="34">
        <f t="shared" si="10"/>
        <v>70.342021580275897</v>
      </c>
      <c r="J117" s="35">
        <f t="shared" si="11"/>
        <v>68.029405406779802</v>
      </c>
    </row>
    <row r="118" spans="1:10" x14ac:dyDescent="0.25">
      <c r="A118">
        <v>86</v>
      </c>
      <c r="B118" s="28">
        <v>10</v>
      </c>
      <c r="C118" s="23">
        <v>30</v>
      </c>
      <c r="D118">
        <v>26</v>
      </c>
      <c r="E118" s="24">
        <v>30</v>
      </c>
      <c r="F118" s="28">
        <v>1</v>
      </c>
      <c r="G118" s="23">
        <f t="shared" si="12"/>
        <v>28</v>
      </c>
      <c r="H118" s="23">
        <f t="shared" si="13"/>
        <v>100</v>
      </c>
      <c r="I118" s="34">
        <f t="shared" si="10"/>
        <v>72.277243998370608</v>
      </c>
      <c r="J118" s="35">
        <f t="shared" si="11"/>
        <v>70.028565600046392</v>
      </c>
    </row>
    <row r="119" spans="1:10" x14ac:dyDescent="0.25">
      <c r="A119">
        <v>87</v>
      </c>
      <c r="B119" s="28">
        <v>10</v>
      </c>
      <c r="C119" s="23">
        <v>28</v>
      </c>
      <c r="D119">
        <v>26</v>
      </c>
      <c r="E119" s="24">
        <v>28</v>
      </c>
      <c r="F119" s="28">
        <v>1</v>
      </c>
      <c r="G119" s="23">
        <f t="shared" si="12"/>
        <v>28</v>
      </c>
      <c r="H119" s="23">
        <f t="shared" si="13"/>
        <v>100</v>
      </c>
      <c r="I119" s="34">
        <f t="shared" si="10"/>
        <v>74.215901261117892</v>
      </c>
      <c r="J119" s="35">
        <f t="shared" si="11"/>
        <v>72.027772421476428</v>
      </c>
    </row>
    <row r="120" spans="1:10" x14ac:dyDescent="0.25">
      <c r="A120">
        <v>88</v>
      </c>
      <c r="B120" s="28">
        <v>10</v>
      </c>
      <c r="C120" s="23">
        <v>26</v>
      </c>
      <c r="D120">
        <v>26</v>
      </c>
      <c r="E120" s="24">
        <v>26</v>
      </c>
      <c r="F120" s="28">
        <v>1</v>
      </c>
      <c r="G120" s="23">
        <f t="shared" si="12"/>
        <v>28</v>
      </c>
      <c r="H120" s="23">
        <f t="shared" si="13"/>
        <v>100</v>
      </c>
      <c r="I120" s="34">
        <f t="shared" si="10"/>
        <v>76.157731058639087</v>
      </c>
      <c r="J120" s="35">
        <f t="shared" si="11"/>
        <v>74.027022093286988</v>
      </c>
    </row>
    <row r="121" spans="1:10" x14ac:dyDescent="0.25">
      <c r="A121">
        <v>89</v>
      </c>
      <c r="B121" s="28">
        <v>10</v>
      </c>
      <c r="C121" s="23">
        <v>24</v>
      </c>
      <c r="D121">
        <v>26</v>
      </c>
      <c r="E121" s="24">
        <v>24</v>
      </c>
      <c r="F121" s="28">
        <v>1</v>
      </c>
      <c r="G121" s="23">
        <f t="shared" si="12"/>
        <v>28</v>
      </c>
      <c r="H121" s="23">
        <f t="shared" si="13"/>
        <v>100</v>
      </c>
      <c r="I121" s="34">
        <f t="shared" si="10"/>
        <v>78.10249675906654</v>
      </c>
      <c r="J121" s="35">
        <f t="shared" si="11"/>
        <v>76.026311234992846</v>
      </c>
    </row>
    <row r="122" spans="1:10" ht="15.75" thickBot="1" x14ac:dyDescent="0.3">
      <c r="A122">
        <v>90</v>
      </c>
      <c r="B122" s="29">
        <v>10</v>
      </c>
      <c r="C122" s="22">
        <v>22</v>
      </c>
      <c r="D122" s="4">
        <v>26</v>
      </c>
      <c r="E122" s="25">
        <v>22</v>
      </c>
      <c r="F122" s="29">
        <v>1</v>
      </c>
      <c r="G122" s="23">
        <f t="shared" si="12"/>
        <v>28</v>
      </c>
      <c r="H122" s="23">
        <f t="shared" si="13"/>
        <v>100</v>
      </c>
      <c r="I122" s="36">
        <f t="shared" si="10"/>
        <v>80.049984384758005</v>
      </c>
      <c r="J122" s="37">
        <f t="shared" si="11"/>
        <v>78.025636812524638</v>
      </c>
    </row>
  </sheetData>
  <mergeCells count="27">
    <mergeCell ref="B8:D8"/>
    <mergeCell ref="F8:H8"/>
    <mergeCell ref="L8:M8"/>
    <mergeCell ref="B2:D2"/>
    <mergeCell ref="F2:J2"/>
    <mergeCell ref="L2:O2"/>
    <mergeCell ref="F3:H3"/>
    <mergeCell ref="L3:M3"/>
    <mergeCell ref="F4:H4"/>
    <mergeCell ref="L4:M4"/>
    <mergeCell ref="F14:H14"/>
    <mergeCell ref="F5:H5"/>
    <mergeCell ref="F6:H6"/>
    <mergeCell ref="L6:M6"/>
    <mergeCell ref="F7:H7"/>
    <mergeCell ref="F9:H9"/>
    <mergeCell ref="F10:H10"/>
    <mergeCell ref="L10:O10"/>
    <mergeCell ref="F11:H11"/>
    <mergeCell ref="F12:H12"/>
    <mergeCell ref="F15:H15"/>
    <mergeCell ref="B18:G18"/>
    <mergeCell ref="B31:C31"/>
    <mergeCell ref="D31:E31"/>
    <mergeCell ref="F31:J31"/>
    <mergeCell ref="I18:K22"/>
    <mergeCell ref="I24:K29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CASE 1</vt:lpstr>
      <vt:lpstr>CASE 2</vt:lpstr>
      <vt:lpstr>AG CASE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Eluan Oliveira</dc:creator>
  <cp:lastModifiedBy>Eluan Oliveira</cp:lastModifiedBy>
  <dcterms:created xsi:type="dcterms:W3CDTF">2023-08-05T02:04:05Z</dcterms:created>
  <dcterms:modified xsi:type="dcterms:W3CDTF">2023-08-06T00:18:34Z</dcterms:modified>
</cp:coreProperties>
</file>